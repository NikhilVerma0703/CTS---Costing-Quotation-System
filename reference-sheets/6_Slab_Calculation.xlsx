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7F38EB5-60B3-4A0A-AE23-4CBA7974D063}" xr6:coauthVersionLast="47" xr6:coauthVersionMax="47" xr10:uidLastSave="{00000000-0000-0000-0000-000000000000}"/>
  <bookViews>
    <workbookView xWindow="-120" yWindow="-120" windowWidth="29040" windowHeight="15720" xr2:uid="{7C8FCB2C-D0A0-4467-B9A0-438AF3282117}"/>
  </bookViews>
  <sheets>
    <sheet name="Slab Calculation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B12" i="1"/>
  <c r="B18" i="1"/>
  <c r="B19" i="1"/>
  <c r="B20" i="1"/>
</calcChain>
</file>

<file path=xl/sharedStrings.xml><?xml version="1.0" encoding="utf-8"?>
<sst xmlns="http://schemas.openxmlformats.org/spreadsheetml/2006/main" count="18" uniqueCount="18">
  <si>
    <t>Share of total waste</t>
  </si>
  <si>
    <t>Waste on these slabs (sqft) - 2,114 sq in each</t>
  </si>
  <si>
    <t>Share of total slabs</t>
  </si>
  <si>
    <t>Dedicated slabs (207 pcs at 2/slab; 1 more piece nested on optimizer p.10)</t>
  </si>
  <si>
    <t>Pieces per slab (optimizer pp.37-40)</t>
  </si>
  <si>
    <t>124 x 34.25 pieces (53+50+105)</t>
  </si>
  <si>
    <t>SLAB DRIVER - 124 x 34.25 KITCHEN TOPS (Dwg 4/7/9)</t>
  </si>
  <si>
    <t>Slab-basis Material Cost @ Variables!C12</t>
  </si>
  <si>
    <t>Utilization %</t>
  </si>
  <si>
    <t>Wasted area (sqft)</t>
  </si>
  <si>
    <t>Used area (sqft) = Drawing Summary piece sqft</t>
  </si>
  <si>
    <t>Total slab area purchased (sqft)</t>
  </si>
  <si>
    <t>Total slabs</t>
  </si>
  <si>
    <t>Less: slab freed by Dwg 7 Pc 5A 53-&gt;50 (3 x 124x34.25 at 2/slab) - rerun optimizer to confirm</t>
  </si>
  <si>
    <t>Slabs per CutList Optimizer rev 1 (46 layouts, BOM rev 1 qty)</t>
  </si>
  <si>
    <t>1.5cm SLABS - ALL PIECES (CutList Optimizer)</t>
  </si>
  <si>
    <t>Source: CutList Optimizer report brighton_park_rev_1.pdf (10/7/2026, 46 pages, LENNAR BOM rev 1 qty) | stock 136 x 78 in | kerf 0.2 in</t>
  </si>
  <si>
    <t>Lennar NWA Brighton Park - Slab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</si>
</sst>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7" x14ac:knownFonts="1">
    <font>
      <sz val="11"/>
      <color theme="1"/>
      <name val="Calibri"/>
      <family val="2"/>
      <charset val="1"/>
    </font>
    <font>
      <sz val="9"/>
      <name val="Arial"/>
      <charset val="1"/>
    </font>
    <font>
      <b/>
      <sz val="9"/>
      <color rgb="FF0000FF"/>
      <name val="Arial"/>
      <charset val="1"/>
    </font>
    <font>
      <b/>
      <sz val="10"/>
      <color rgb="FFFFFFFF"/>
      <name val="Arial"/>
      <charset val="1"/>
    </font>
    <font>
      <sz val="9"/>
      <color rgb="FF008000"/>
      <name val="Arial"/>
      <charset val="1"/>
    </font>
    <font>
      <i/>
      <sz val="9"/>
      <color rgb="FF555555"/>
      <name val="Arial"/>
      <charset val="1"/>
    </font>
    <font>
      <b/>
      <sz val="13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1Varibles(CTS).xlsx" TargetMode="External"/><Relationship Id="rId1" Type="http://schemas.openxmlformats.org/officeDocument/2006/relationships/externalLinkPath" Target="%231Varibles(CTS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%232)%20Drawing%20Summary(CTS).xlsx" TargetMode="External"/><Relationship Id="rId1" Type="http://schemas.openxmlformats.org/officeDocument/2006/relationships/externalLinkPath" Target="%232)%20Drawing%20Summary(CT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bles"/>
    </sheetNames>
    <sheetDataSet>
      <sheetData sheetId="0">
        <row r="7">
          <cell r="B7">
            <v>73.666666666666671</v>
          </cell>
        </row>
        <row r="12">
          <cell r="C12">
            <v>3.5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wing Summary"/>
    </sheetNames>
    <sheetDataSet>
      <sheetData sheetId="0">
        <row r="5">
          <cell r="A5">
            <v>1</v>
          </cell>
        </row>
        <row r="27">
          <cell r="T27">
            <v>15828.278645833338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B87A-8486-486B-AE3B-46598D46B9E9}">
  <dimension ref="A1:B20"/>
  <sheetViews>
    <sheetView showGridLines="0" tabSelected="1" zoomScaleNormal="100" workbookViewId="0">
      <selection sqref="A1:XFD1"/>
    </sheetView>
  </sheetViews>
  <sheetFormatPr defaultColWidth="8.7109375" defaultRowHeight="15" x14ac:dyDescent="0.25"/>
  <cols>
    <col min="1" max="1" width="62" customWidth="1"/>
    <col min="2" max="2" width="16" customWidth="1"/>
  </cols>
  <sheetData>
    <row r="1" spans="1:2" s="13" customFormat="1" ht="16.5" x14ac:dyDescent="0.25">
      <c r="A1" s="13" t="s">
        <v>17</v>
      </c>
    </row>
    <row r="2" spans="1:2" s="12" customFormat="1" ht="15" customHeight="1" x14ac:dyDescent="0.25">
      <c r="A2" s="12" t="s">
        <v>16</v>
      </c>
    </row>
    <row r="4" spans="1:2" x14ac:dyDescent="0.25">
      <c r="A4" s="7" t="s">
        <v>15</v>
      </c>
      <c r="B4" s="6"/>
    </row>
    <row r="5" spans="1:2" x14ac:dyDescent="0.25">
      <c r="A5" s="2" t="s">
        <v>14</v>
      </c>
      <c r="B5" s="4">
        <v>261</v>
      </c>
    </row>
    <row r="6" spans="1:2" x14ac:dyDescent="0.25">
      <c r="A6" s="2" t="s">
        <v>13</v>
      </c>
      <c r="B6" s="11">
        <v>-1</v>
      </c>
    </row>
    <row r="7" spans="1:2" x14ac:dyDescent="0.25">
      <c r="A7" s="2" t="s">
        <v>12</v>
      </c>
      <c r="B7" s="10">
        <f>B5+B6</f>
        <v>260</v>
      </c>
    </row>
    <row r="8" spans="1:2" x14ac:dyDescent="0.25">
      <c r="A8" s="2" t="s">
        <v>11</v>
      </c>
      <c r="B8" s="3">
        <f>B7*[1]Variables!$B$7</f>
        <v>19153.333333333336</v>
      </c>
    </row>
    <row r="9" spans="1:2" x14ac:dyDescent="0.25">
      <c r="A9" s="2" t="s">
        <v>10</v>
      </c>
      <c r="B9" s="9">
        <f>'[2]Drawing Summary'!T27</f>
        <v>15828.278645833338</v>
      </c>
    </row>
    <row r="10" spans="1:2" x14ac:dyDescent="0.25">
      <c r="A10" s="2" t="s">
        <v>9</v>
      </c>
      <c r="B10" s="3">
        <f>B8-B9</f>
        <v>3325.0546874999982</v>
      </c>
    </row>
    <row r="11" spans="1:2" x14ac:dyDescent="0.25">
      <c r="A11" s="2" t="s">
        <v>8</v>
      </c>
      <c r="B11" s="1">
        <f>B9/B8</f>
        <v>0.82639811934389151</v>
      </c>
    </row>
    <row r="12" spans="1:2" x14ac:dyDescent="0.25">
      <c r="A12" s="2" t="s">
        <v>7</v>
      </c>
      <c r="B12" s="8">
        <f>B8*[1]Variables!$C$12</f>
        <v>67036.666666666672</v>
      </c>
    </row>
    <row r="14" spans="1:2" x14ac:dyDescent="0.25">
      <c r="A14" s="7" t="s">
        <v>6</v>
      </c>
      <c r="B14" s="6"/>
    </row>
    <row r="15" spans="1:2" x14ac:dyDescent="0.25">
      <c r="A15" s="2" t="s">
        <v>5</v>
      </c>
      <c r="B15" s="4">
        <v>208</v>
      </c>
    </row>
    <row r="16" spans="1:2" x14ac:dyDescent="0.25">
      <c r="A16" s="2" t="s">
        <v>4</v>
      </c>
      <c r="B16" s="5">
        <v>2</v>
      </c>
    </row>
    <row r="17" spans="1:2" x14ac:dyDescent="0.25">
      <c r="A17" s="2" t="s">
        <v>3</v>
      </c>
      <c r="B17" s="4">
        <v>104</v>
      </c>
    </row>
    <row r="18" spans="1:2" x14ac:dyDescent="0.25">
      <c r="A18" s="2" t="s">
        <v>2</v>
      </c>
      <c r="B18" s="1">
        <f>B17/B7</f>
        <v>0.4</v>
      </c>
    </row>
    <row r="19" spans="1:2" x14ac:dyDescent="0.25">
      <c r="A19" s="2" t="s">
        <v>1</v>
      </c>
      <c r="B19" s="3">
        <f>B17*2114/144</f>
        <v>1526.7777777777778</v>
      </c>
    </row>
    <row r="20" spans="1:2" x14ac:dyDescent="0.25">
      <c r="A20" s="2" t="s">
        <v>0</v>
      </c>
      <c r="B20" s="1">
        <f>B19/B10</f>
        <v>0.45917373435012976</v>
      </c>
    </row>
  </sheetData>
  <mergeCells count="2">
    <mergeCell ref="A2:XFD2"/>
    <mergeCell ref="A1:XF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Slab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2026-10-15T12:14:05Z</dcterms:created>
  <dcterms:modified xsi:type="dcterms:W3CDTF">2026-10-15T12:14:29Z</dcterms:modified>
</cp:coreProperties>
</file>