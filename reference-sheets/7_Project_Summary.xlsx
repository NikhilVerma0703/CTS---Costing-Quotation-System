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F87DA25-4D6C-4E28-B434-A26E679BAB6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ject Summary" sheetId="7" r:id="rId1"/>
  </sheets>
  <externalReferences>
    <externalReference r:id="rId2"/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7" l="1"/>
  <c r="B7" i="7"/>
  <c r="B8" i="7"/>
  <c r="B15" i="7" l="1"/>
  <c r="B12" i="7"/>
  <c r="B6" i="7" l="1"/>
  <c r="B11" i="7" l="1"/>
  <c r="B13" i="7" s="1"/>
  <c r="B25" i="7" s="1"/>
  <c r="B14" i="7" l="1"/>
  <c r="B16" i="7" s="1"/>
  <c r="C25" i="7" l="1"/>
  <c r="B21" i="7"/>
  <c r="B19" i="7"/>
  <c r="B20" i="7" s="1"/>
</calcChain>
</file>

<file path=xl/sharedStrings.xml><?xml version="1.0" encoding="utf-8"?>
<sst xmlns="http://schemas.openxmlformats.org/spreadsheetml/2006/main" count="38" uniqueCount="38">
  <si>
    <t>Lennar NWA Brighton Park - Countertop Project</t>
  </si>
  <si>
    <t>Countertop Cost Summary - Ver 5: Dwg 7 Pc 5A 53-&gt;50 (1,531 pcs), 260 slabs; final rate per sqft only; LENNAR BOM rev 1 qty otherwise, material $3.50/sqft, 3 containers @ Rs 200,000 (Project #1624 Ver11 format): slab-basis material per CutList Optimizer</t>
  </si>
  <si>
    <t>SCOPE</t>
  </si>
  <si>
    <t>Pieces (Drawing Summary)</t>
  </si>
  <si>
    <t>Piece sqft</t>
  </si>
  <si>
    <t>Slabs required (optimizer rev 1 = 261, less 1 for 5A change)</t>
  </si>
  <si>
    <t>Sink cutouts</t>
  </si>
  <si>
    <t>COST BUILD-UP (piece-basis fabrication + slab-basis material)</t>
  </si>
  <si>
    <t>Fabrication cost (Cutting+DE&amp;P+Sink+Faucet+R-Corner+Joint+Packing) - My Cost</t>
  </si>
  <si>
    <t>Slab-basis Material Cost (260 slabs, from Slab Calculation)</t>
  </si>
  <si>
    <t>TOTAL INTERNAL COST (My Cost)</t>
  </si>
  <si>
    <t>Fabrication cost (Customer side)</t>
  </si>
  <si>
    <t>Material charge to customer (slab-basis, no markup)</t>
  </si>
  <si>
    <t>TOTAL CUSTOMER QUOTE</t>
  </si>
  <si>
    <t>MARGIN</t>
  </si>
  <si>
    <t>Gross Margin $</t>
  </si>
  <si>
    <t>Gross Margin %</t>
  </si>
  <si>
    <t>Customer price per slab</t>
  </si>
  <si>
    <t>FINAL RATE PER SQFT (on piece sqft)</t>
  </si>
  <si>
    <t>My Cost $/sqft</t>
  </si>
  <si>
    <t>Customer $/sqft</t>
  </si>
  <si>
    <t>Rate per sqft (Total / piece sqft)</t>
  </si>
  <si>
    <t>NOTES / ASSUMPTIONS</t>
  </si>
  <si>
    <t>Ver5: CHANGE - Dwg 7 Pc 5A qty 53 -&gt; 50 (3 fewer 124 x 34.25 tops, 3 fewer sink cutouts: 1,531 pcs / 15,828.28 sqft, 639 cutouts). Slabs 261 -&gt; 260 (ESTIMATE: 3 pcs at 2/slab frees 1 slab of the rev 1 optimizer run - rerun CutList Optimizer to confirm).</t>
  </si>
  <si>
    <t>Ver4: CHANGE - Rate-per-sqft breakup removed - Project Summary shows final rate per sqft only. No pricing change from Ver3.</t>
  </si>
  <si>
    <t>1. CHANGE (Ver2 Rev1): 1.5cm material rate confirmed at $3.50/sqft (was $4.50 placeholder).</t>
  </si>
  <si>
    <t>Ver3: CHANGE - Quantities per LENNAR BOM rev 1 - Dwg 1 Pc 1 51-&gt;53, Dwg 4 Pc 1A 50-&gt;53, Dwg 7 Pc 5A 50-&gt;53, Dwg 9 Pc 8A 100-&gt;105 (+13 pcs; 1,534 pcs / 15,916.76 sqft). Spares on Pc 1/1A/5A carry sink cutouts (642 total); 8A none.</t>
  </si>
  <si>
    <t>Ver3: CHANGE - Slabs per CutList Optimizer rev 1 (brighton_park_rev_1.pdf, 10/7/2026) = 261 (was 255); optimizer used area matches Drawing Summary sqft.</t>
  </si>
  <si>
    <t>OPEN: BOM calls 1A/5A/8A (124 x 34.25) 'Kitchen Island'. Priced as perimeter run (DE&amp;P = one L + one W). If freestanding islands, DE&amp;P becomes full perimeter on 211 pieces.</t>
  </si>
  <si>
    <t>2. CHANGE (Ver2): Packing = 3 x 40ft containers (confirmed) @ Rs 200,000 each (was Rs 145,000), Rs 95/USD, spread over total piece sqft.</t>
  </si>
  <si>
    <t>3. Material costed on a SLAB basis: 260 slabs x 73.67 sqft x $3.50. Customer material charge = cost (no markup), as on #1624.</t>
  </si>
  <si>
    <t>4. Cutting LF = full perimeter 2(L+W)/12 on every piece (no splashes/aprons on these drawings).</t>
  </si>
  <si>
    <t>5. DE&amp;P LF: Kitchen Island Top (Dwg 1 Pc 1, BERGA group) = full perimeter 2(L+W)/12; all other pieces = one L + one W edge (L+W)/12, per #1624 Ver9 rule. 'No Polish' edges on Dwg 9 are not deducted.</t>
  </si>
  <si>
    <t>6. Hand Chamfering excluded (removed in #1624 Ver7).</t>
  </si>
  <si>
    <t>7. Faucet holes = 0 and R-Corners = 0: faucet field blank on both cutout templates and no eased corners called out. Add counts in Drawing Summary cols L/M if required.</t>
  </si>
  <si>
    <t>8. Sink cutouts: ASI-2003 (kitchen) and ASI-C6 (vanity) at one uniform rate. Dwg 9 kitchens and Dwg 10 MB vanities have NO sink - confirmed by BOM rev 1.</t>
  </si>
  <si>
    <t>9. Joints flagged on Dwg 4/7/9 L-shapes (1A/1B, 2A/2B etc.) at $0 per joint, per #1624 precedent.</t>
  </si>
  <si>
    <t>10. Color shown as 'COLOR' on all drawings - single color/rate assumed. BERGA MB vanity qty 66 confirmed by BOM rev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</si>
</sst>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\$#,##0.00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9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9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2)%20Drawing%20Summary(CTS).xlsx" TargetMode="External"/><Relationship Id="rId1" Type="http://schemas.openxmlformats.org/officeDocument/2006/relationships/externalLinkPath" Target="%232)%20Drawing%20Summary(CTS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3)%20%20Internal%20Costing%20(My%20Cost)%20(CTS).xlsx" TargetMode="External"/><Relationship Id="rId1" Type="http://schemas.openxmlformats.org/officeDocument/2006/relationships/externalLinkPath" Target="%233)%20%20Internal%20Costing%20(My%20Cost)%20(CTS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4)%20Customer%20Quote(CTS).xlsx" TargetMode="External"/><Relationship Id="rId1" Type="http://schemas.openxmlformats.org/officeDocument/2006/relationships/externalLinkPath" Target="%234)%20Customer%20Quote(CTS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6)%20%20Slab%20Calculation(CTS).xlsx" TargetMode="External"/><Relationship Id="rId1" Type="http://schemas.openxmlformats.org/officeDocument/2006/relationships/externalLinkPath" Target="%236)%20%20Slab%20Calculation(CT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wing Summary"/>
    </sheetNames>
    <sheetDataSet>
      <sheetData sheetId="0">
        <row r="5">
          <cell r="A5">
            <v>1</v>
          </cell>
        </row>
        <row r="27">
          <cell r="K27">
            <v>639</v>
          </cell>
          <cell r="S27">
            <v>1531</v>
          </cell>
          <cell r="T27">
            <v>15828.278645833338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rnal Costing"/>
    </sheetNames>
    <sheetDataSet>
      <sheetData sheetId="0">
        <row r="26">
          <cell r="G26">
            <v>55398.975260416657</v>
          </cell>
          <cell r="P26">
            <v>69844.399942434218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 Quote"/>
    </sheetNames>
    <sheetDataSet>
      <sheetData sheetId="0">
        <row r="4">
          <cell r="O4">
            <v>133.08863932827111</v>
          </cell>
        </row>
        <row r="26">
          <cell r="G26">
            <v>55398.975260416657</v>
          </cell>
          <cell r="P26">
            <v>74513.460567434217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lab Calculation"/>
    </sheetNames>
    <sheetDataSet>
      <sheetData sheetId="0">
        <row r="7">
          <cell r="B7">
            <v>260</v>
          </cell>
        </row>
        <row r="12">
          <cell r="B12">
            <v>67036.666666666672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"/>
  <sheetViews>
    <sheetView showGridLines="0" tabSelected="1" zoomScaleNormal="100" workbookViewId="0">
      <selection activeCell="H13" sqref="H13"/>
    </sheetView>
  </sheetViews>
  <sheetFormatPr defaultColWidth="8.7109375" defaultRowHeight="15" x14ac:dyDescent="0.25"/>
  <cols>
    <col min="1" max="1" width="95" customWidth="1"/>
    <col min="2" max="3" width="18" customWidth="1"/>
  </cols>
  <sheetData>
    <row r="1" spans="1:2" s="12" customFormat="1" ht="16.5" x14ac:dyDescent="0.25">
      <c r="A1" s="12" t="s">
        <v>0</v>
      </c>
    </row>
    <row r="2" spans="1:2" s="13" customFormat="1" ht="15" customHeight="1" x14ac:dyDescent="0.25">
      <c r="A2" s="13" t="s">
        <v>1</v>
      </c>
    </row>
    <row r="4" spans="1:2" x14ac:dyDescent="0.25">
      <c r="A4" s="5" t="s">
        <v>2</v>
      </c>
      <c r="B4" s="6"/>
    </row>
    <row r="5" spans="1:2" x14ac:dyDescent="0.25">
      <c r="A5" s="7" t="s">
        <v>3</v>
      </c>
      <c r="B5" s="10">
        <f>'[1]Drawing Summary'!S27</f>
        <v>1531</v>
      </c>
    </row>
    <row r="6" spans="1:2" x14ac:dyDescent="0.25">
      <c r="A6" s="7" t="s">
        <v>4</v>
      </c>
      <c r="B6" s="8">
        <f>'[1]Drawing Summary'!T27</f>
        <v>15828.278645833338</v>
      </c>
    </row>
    <row r="7" spans="1:2" x14ac:dyDescent="0.25">
      <c r="A7" s="7" t="s">
        <v>5</v>
      </c>
      <c r="B7" s="10">
        <f>'[4]Slab Calculation'!B7</f>
        <v>260</v>
      </c>
    </row>
    <row r="8" spans="1:2" x14ac:dyDescent="0.25">
      <c r="A8" s="7" t="s">
        <v>6</v>
      </c>
      <c r="B8" s="10">
        <f>'[1]Drawing Summary'!K27</f>
        <v>639</v>
      </c>
    </row>
    <row r="10" spans="1:2" x14ac:dyDescent="0.25">
      <c r="A10" s="5" t="s">
        <v>7</v>
      </c>
      <c r="B10" s="6"/>
    </row>
    <row r="11" spans="1:2" x14ac:dyDescent="0.25">
      <c r="A11" s="7" t="s">
        <v>8</v>
      </c>
      <c r="B11" s="9">
        <f>'[2]Internal Costing'!P26-'[2]Internal Costing'!G26</f>
        <v>14445.424682017561</v>
      </c>
    </row>
    <row r="12" spans="1:2" x14ac:dyDescent="0.25">
      <c r="A12" s="7" t="s">
        <v>9</v>
      </c>
      <c r="B12" s="9">
        <f>'[4]Slab Calculation'!B12</f>
        <v>67036.666666666672</v>
      </c>
    </row>
    <row r="13" spans="1:2" x14ac:dyDescent="0.25">
      <c r="A13" s="2" t="s">
        <v>10</v>
      </c>
      <c r="B13" s="3">
        <f>B11+B12</f>
        <v>81482.091348684233</v>
      </c>
    </row>
    <row r="14" spans="1:2" x14ac:dyDescent="0.25">
      <c r="A14" s="7" t="s">
        <v>11</v>
      </c>
      <c r="B14" s="9">
        <f>'[3]Customer Quote'!P26-'[3]Customer Quote'!G26</f>
        <v>19114.48530701756</v>
      </c>
    </row>
    <row r="15" spans="1:2" x14ac:dyDescent="0.25">
      <c r="A15" s="7" t="s">
        <v>12</v>
      </c>
      <c r="B15" s="9">
        <f>'[4]Slab Calculation'!B12</f>
        <v>67036.666666666672</v>
      </c>
    </row>
    <row r="16" spans="1:2" x14ac:dyDescent="0.25">
      <c r="A16" s="2" t="s">
        <v>13</v>
      </c>
      <c r="B16" s="3">
        <f>B14+B15</f>
        <v>86151.151973684231</v>
      </c>
    </row>
    <row r="18" spans="1:3" x14ac:dyDescent="0.25">
      <c r="A18" s="5" t="s">
        <v>14</v>
      </c>
      <c r="B18" s="6"/>
    </row>
    <row r="19" spans="1:3" x14ac:dyDescent="0.25">
      <c r="A19" s="7" t="s">
        <v>15</v>
      </c>
      <c r="B19" s="9">
        <f>B16-B13</f>
        <v>4669.0606249999983</v>
      </c>
    </row>
    <row r="20" spans="1:3" x14ac:dyDescent="0.25">
      <c r="A20" s="7" t="s">
        <v>16</v>
      </c>
      <c r="B20" s="11">
        <f>B19/B16</f>
        <v>5.4196148490576322E-2</v>
      </c>
    </row>
    <row r="21" spans="1:3" x14ac:dyDescent="0.25">
      <c r="A21" s="7" t="s">
        <v>17</v>
      </c>
      <c r="B21" s="9">
        <f>B16/B7</f>
        <v>331.35058451417012</v>
      </c>
    </row>
    <row r="24" spans="1:3" x14ac:dyDescent="0.25">
      <c r="A24" s="5" t="s">
        <v>18</v>
      </c>
      <c r="B24" s="1" t="s">
        <v>19</v>
      </c>
      <c r="C24" s="1" t="s">
        <v>20</v>
      </c>
    </row>
    <row r="25" spans="1:3" x14ac:dyDescent="0.25">
      <c r="A25" s="2" t="s">
        <v>21</v>
      </c>
      <c r="B25" s="3">
        <f>B13/$B$6</f>
        <v>5.1478807754078622</v>
      </c>
      <c r="C25" s="3">
        <f>B16/$B$6</f>
        <v>5.4428629860116091</v>
      </c>
    </row>
    <row r="27" spans="1:3" x14ac:dyDescent="0.25">
      <c r="A27" s="5" t="s">
        <v>22</v>
      </c>
      <c r="B27" s="6"/>
    </row>
    <row r="28" spans="1:3" x14ac:dyDescent="0.25">
      <c r="A28" s="4" t="s">
        <v>23</v>
      </c>
    </row>
    <row r="29" spans="1:3" x14ac:dyDescent="0.25">
      <c r="A29" s="4" t="s">
        <v>24</v>
      </c>
    </row>
    <row r="30" spans="1:3" x14ac:dyDescent="0.25">
      <c r="A30" s="4" t="s">
        <v>25</v>
      </c>
    </row>
    <row r="31" spans="1:3" x14ac:dyDescent="0.25">
      <c r="A31" s="4" t="s">
        <v>26</v>
      </c>
    </row>
    <row r="32" spans="1:3" x14ac:dyDescent="0.25">
      <c r="A32" s="4" t="s">
        <v>27</v>
      </c>
    </row>
    <row r="33" spans="1:1" x14ac:dyDescent="0.25">
      <c r="A33" s="4" t="s">
        <v>28</v>
      </c>
    </row>
    <row r="34" spans="1:1" x14ac:dyDescent="0.25">
      <c r="A34" s="4" t="s">
        <v>29</v>
      </c>
    </row>
    <row r="35" spans="1:1" x14ac:dyDescent="0.25">
      <c r="A35" s="4" t="s">
        <v>30</v>
      </c>
    </row>
    <row r="36" spans="1:1" x14ac:dyDescent="0.25">
      <c r="A36" s="4" t="s">
        <v>31</v>
      </c>
    </row>
    <row r="37" spans="1:1" x14ac:dyDescent="0.25">
      <c r="A37" s="4" t="s">
        <v>32</v>
      </c>
    </row>
    <row r="38" spans="1:1" x14ac:dyDescent="0.25">
      <c r="A38" s="4" t="s">
        <v>33</v>
      </c>
    </row>
    <row r="39" spans="1:1" x14ac:dyDescent="0.25">
      <c r="A39" s="4" t="s">
        <v>34</v>
      </c>
    </row>
    <row r="40" spans="1:1" x14ac:dyDescent="0.25">
      <c r="A40" s="4" t="s">
        <v>35</v>
      </c>
    </row>
    <row r="41" spans="1:1" x14ac:dyDescent="0.25">
      <c r="A41" s="4" t="s">
        <v>36</v>
      </c>
    </row>
    <row r="42" spans="1:1" x14ac:dyDescent="0.25">
      <c r="A42" s="4" t="s">
        <v>37</v>
      </c>
    </row>
  </sheetData>
  <mergeCells count="2">
    <mergeCell ref="A1:XFD1"/>
    <mergeCell ref="A2:XF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2026-10-07T07:54:09Z</dcterms:created>
  <dcterms:modified xsi:type="dcterms:W3CDTF">2026-10-15T12:15:35Z</dcterms:modified>
  <dc:language>en-US</dc:language>
</cp:coreProperties>
</file>