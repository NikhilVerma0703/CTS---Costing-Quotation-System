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E9C1A2-8F81-4D17-AF85-3ACBDBD67424}" xr6:coauthVersionLast="47" xr6:coauthVersionMax="47" xr10:uidLastSave="{00000000-0000-0000-0000-000000000000}"/>
  <bookViews>
    <workbookView xWindow="-120" yWindow="-120" windowWidth="29040" windowHeight="15720" xr2:uid="{44996903-6A43-498D-982C-B7A6D1FC76A2}"/>
  </bookViews>
  <sheets>
    <sheet name="Customer Quote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N4" i="1" s="1"/>
  <c r="F4" i="1"/>
  <c r="F26" i="1" s="1"/>
  <c r="G4" i="1"/>
  <c r="O4" i="1" s="1"/>
  <c r="P4" i="1" s="1"/>
  <c r="H4" i="1"/>
  <c r="H26" i="1" s="1"/>
  <c r="I4" i="1"/>
  <c r="I26" i="1" s="1"/>
  <c r="J4" i="1"/>
  <c r="K4" i="1"/>
  <c r="K26" i="1" s="1"/>
  <c r="L4" i="1"/>
  <c r="M4" i="1"/>
  <c r="A5" i="1"/>
  <c r="B5" i="1"/>
  <c r="C5" i="1"/>
  <c r="D5" i="1"/>
  <c r="E5" i="1"/>
  <c r="N5" i="1" s="1"/>
  <c r="F5" i="1"/>
  <c r="G5" i="1"/>
  <c r="O5" i="1" s="1"/>
  <c r="P5" i="1" s="1"/>
  <c r="H5" i="1"/>
  <c r="I5" i="1"/>
  <c r="J5" i="1"/>
  <c r="K5" i="1"/>
  <c r="L5" i="1"/>
  <c r="M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A7" i="1"/>
  <c r="B7" i="1"/>
  <c r="C7" i="1"/>
  <c r="D7" i="1"/>
  <c r="E7" i="1"/>
  <c r="N7" i="1" s="1"/>
  <c r="F7" i="1"/>
  <c r="G7" i="1"/>
  <c r="H7" i="1"/>
  <c r="I7" i="1"/>
  <c r="J7" i="1"/>
  <c r="K7" i="1"/>
  <c r="L7" i="1"/>
  <c r="M7" i="1"/>
  <c r="A8" i="1"/>
  <c r="B8" i="1"/>
  <c r="C8" i="1"/>
  <c r="D8" i="1"/>
  <c r="E8" i="1"/>
  <c r="N8" i="1" s="1"/>
  <c r="F8" i="1"/>
  <c r="G8" i="1"/>
  <c r="H8" i="1"/>
  <c r="I8" i="1"/>
  <c r="J8" i="1"/>
  <c r="K8" i="1"/>
  <c r="L8" i="1"/>
  <c r="M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A10" i="1"/>
  <c r="B10" i="1"/>
  <c r="C10" i="1"/>
  <c r="D10" i="1"/>
  <c r="E10" i="1"/>
  <c r="N10" i="1" s="1"/>
  <c r="F10" i="1"/>
  <c r="G10" i="1"/>
  <c r="O10" i="1" s="1"/>
  <c r="P10" i="1" s="1"/>
  <c r="H10" i="1"/>
  <c r="I10" i="1"/>
  <c r="J10" i="1"/>
  <c r="J26" i="1" s="1"/>
  <c r="K10" i="1"/>
  <c r="L10" i="1"/>
  <c r="M10" i="1"/>
  <c r="A11" i="1"/>
  <c r="B11" i="1"/>
  <c r="C11" i="1"/>
  <c r="D11" i="1"/>
  <c r="E11" i="1"/>
  <c r="N11" i="1" s="1"/>
  <c r="F11" i="1"/>
  <c r="G11" i="1"/>
  <c r="O11" i="1" s="1"/>
  <c r="P11" i="1" s="1"/>
  <c r="H11" i="1"/>
  <c r="I11" i="1"/>
  <c r="J11" i="1"/>
  <c r="K11" i="1"/>
  <c r="L11" i="1"/>
  <c r="M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A13" i="1"/>
  <c r="B13" i="1"/>
  <c r="C13" i="1"/>
  <c r="D13" i="1"/>
  <c r="E13" i="1"/>
  <c r="N13" i="1" s="1"/>
  <c r="F13" i="1"/>
  <c r="G13" i="1"/>
  <c r="H13" i="1"/>
  <c r="I13" i="1"/>
  <c r="J13" i="1"/>
  <c r="K13" i="1"/>
  <c r="L13" i="1"/>
  <c r="M13" i="1"/>
  <c r="A14" i="1"/>
  <c r="B14" i="1"/>
  <c r="C14" i="1"/>
  <c r="D14" i="1"/>
  <c r="E14" i="1"/>
  <c r="N14" i="1" s="1"/>
  <c r="F14" i="1"/>
  <c r="G14" i="1"/>
  <c r="H14" i="1"/>
  <c r="I14" i="1"/>
  <c r="J14" i="1"/>
  <c r="K14" i="1"/>
  <c r="L14" i="1"/>
  <c r="M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A16" i="1"/>
  <c r="B16" i="1"/>
  <c r="C16" i="1"/>
  <c r="D16" i="1"/>
  <c r="E16" i="1"/>
  <c r="N16" i="1" s="1"/>
  <c r="F16" i="1"/>
  <c r="G16" i="1"/>
  <c r="O16" i="1" s="1"/>
  <c r="P16" i="1" s="1"/>
  <c r="H16" i="1"/>
  <c r="I16" i="1"/>
  <c r="J16" i="1"/>
  <c r="K16" i="1"/>
  <c r="L16" i="1"/>
  <c r="L26" i="1" s="1"/>
  <c r="M16" i="1"/>
  <c r="A17" i="1"/>
  <c r="B17" i="1"/>
  <c r="C17" i="1"/>
  <c r="D17" i="1"/>
  <c r="E17" i="1"/>
  <c r="N17" i="1" s="1"/>
  <c r="F17" i="1"/>
  <c r="G17" i="1"/>
  <c r="O17" i="1" s="1"/>
  <c r="P17" i="1" s="1"/>
  <c r="H17" i="1"/>
  <c r="I17" i="1"/>
  <c r="J17" i="1"/>
  <c r="K17" i="1"/>
  <c r="L17" i="1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A19" i="1"/>
  <c r="B19" i="1"/>
  <c r="C19" i="1"/>
  <c r="D19" i="1"/>
  <c r="E19" i="1"/>
  <c r="N19" i="1" s="1"/>
  <c r="F19" i="1"/>
  <c r="G19" i="1"/>
  <c r="H19" i="1"/>
  <c r="I19" i="1"/>
  <c r="J19" i="1"/>
  <c r="K19" i="1"/>
  <c r="L19" i="1"/>
  <c r="M19" i="1"/>
  <c r="A20" i="1"/>
  <c r="B20" i="1"/>
  <c r="C20" i="1"/>
  <c r="D20" i="1"/>
  <c r="E20" i="1"/>
  <c r="N20" i="1" s="1"/>
  <c r="F20" i="1"/>
  <c r="G20" i="1"/>
  <c r="H20" i="1"/>
  <c r="I20" i="1"/>
  <c r="J20" i="1"/>
  <c r="K20" i="1"/>
  <c r="L20" i="1"/>
  <c r="M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A22" i="1"/>
  <c r="B22" i="1"/>
  <c r="C22" i="1"/>
  <c r="D22" i="1"/>
  <c r="E22" i="1"/>
  <c r="N22" i="1" s="1"/>
  <c r="F22" i="1"/>
  <c r="G22" i="1"/>
  <c r="O22" i="1" s="1"/>
  <c r="P22" i="1" s="1"/>
  <c r="H22" i="1"/>
  <c r="I22" i="1"/>
  <c r="J22" i="1"/>
  <c r="K22" i="1"/>
  <c r="L22" i="1"/>
  <c r="M22" i="1"/>
  <c r="A23" i="1"/>
  <c r="B23" i="1"/>
  <c r="C23" i="1"/>
  <c r="D23" i="1"/>
  <c r="E23" i="1"/>
  <c r="N23" i="1" s="1"/>
  <c r="F23" i="1"/>
  <c r="G23" i="1"/>
  <c r="O23" i="1" s="1"/>
  <c r="P23" i="1" s="1"/>
  <c r="H23" i="1"/>
  <c r="I23" i="1"/>
  <c r="J23" i="1"/>
  <c r="K23" i="1"/>
  <c r="L23" i="1"/>
  <c r="M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A25" i="1"/>
  <c r="B25" i="1"/>
  <c r="C25" i="1"/>
  <c r="D25" i="1"/>
  <c r="E25" i="1"/>
  <c r="N25" i="1" s="1"/>
  <c r="F25" i="1"/>
  <c r="G25" i="1"/>
  <c r="H25" i="1"/>
  <c r="I25" i="1"/>
  <c r="J25" i="1"/>
  <c r="K25" i="1"/>
  <c r="L25" i="1"/>
  <c r="M25" i="1"/>
  <c r="M26" i="1"/>
  <c r="N26" i="1" l="1"/>
  <c r="O8" i="1"/>
  <c r="P8" i="1" s="1"/>
  <c r="O20" i="1"/>
  <c r="P20" i="1" s="1"/>
  <c r="O14" i="1"/>
  <c r="P14" i="1" s="1"/>
  <c r="O25" i="1"/>
  <c r="P25" i="1" s="1"/>
  <c r="O19" i="1"/>
  <c r="P19" i="1" s="1"/>
  <c r="O13" i="1"/>
  <c r="P13" i="1" s="1"/>
  <c r="O7" i="1"/>
  <c r="P7" i="1" s="1"/>
  <c r="P26" i="1" s="1"/>
  <c r="G26" i="1"/>
</calcChain>
</file>

<file path=xl/sharedStrings.xml><?xml version="1.0" encoding="utf-8"?>
<sst xmlns="http://schemas.openxmlformats.org/spreadsheetml/2006/main" count="20" uniqueCount="20">
  <si>
    <t>n/a</t>
  </si>
  <si>
    <t>TOTAL (qty-weighted)</t>
  </si>
  <si>
    <t>Total Price</t>
  </si>
  <si>
    <t>Price/Pc</t>
  </si>
  <si>
    <t>Packing $</t>
  </si>
  <si>
    <t>Joint $</t>
  </si>
  <si>
    <t>R-Corner $</t>
  </si>
  <si>
    <t>Faucet $</t>
  </si>
  <si>
    <t>Sink $</t>
  </si>
  <si>
    <t>DE&amp;P $</t>
  </si>
  <si>
    <t>Cutting $</t>
  </si>
  <si>
    <t>Material $</t>
  </si>
  <si>
    <t>Units Qty</t>
  </si>
  <si>
    <t>Sqft/Pc</t>
  </si>
  <si>
    <t>Description</t>
  </si>
  <si>
    <t>Piece</t>
  </si>
  <si>
    <t>Group</t>
  </si>
  <si>
    <t>Dwg#</t>
  </si>
  <si>
    <t>Material here is piece-sqft basis for reference only; the firm quote uses slab-basis material (Project Summary).</t>
  </si>
  <si>
    <t>Lennar NWA Brighton Park - Customer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</si>
</sst>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i/>
      <sz val="9"/>
      <color rgb="FF555555"/>
      <name val="Arial"/>
      <charset val="1"/>
    </font>
    <font>
      <sz val="9"/>
      <name val="Arial"/>
      <charset val="1"/>
    </font>
    <font>
      <sz val="9"/>
      <color rgb="FF008000"/>
      <name val="Arial"/>
      <charset val="1"/>
    </font>
    <font>
      <b/>
      <sz val="10"/>
      <color rgb="FFFFFFFF"/>
      <name val="Arial"/>
      <charset val="1"/>
    </font>
    <font>
      <b/>
      <sz val="1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EEAF1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1Varibles(CTS).xlsx" TargetMode="External"/><Relationship Id="rId1" Type="http://schemas.openxmlformats.org/officeDocument/2006/relationships/externalLinkPath" Target="%231Varibles(CT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2)%20Drawing%20Summary(CTS).xlsx" TargetMode="External"/><Relationship Id="rId1" Type="http://schemas.openxmlformats.org/officeDocument/2006/relationships/externalLinkPath" Target="%232)%20Drawing%20Summary(C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les"/>
    </sheetNames>
    <sheetDataSet>
      <sheetData sheetId="0">
        <row r="7">
          <cell r="B7">
            <v>73.666666666666671</v>
          </cell>
        </row>
        <row r="12">
          <cell r="D12">
            <v>3.5</v>
          </cell>
        </row>
        <row r="13">
          <cell r="D13">
            <v>0.3</v>
          </cell>
        </row>
        <row r="14">
          <cell r="D14">
            <v>0.4</v>
          </cell>
        </row>
        <row r="15">
          <cell r="D15">
            <v>4</v>
          </cell>
        </row>
        <row r="16">
          <cell r="D16">
            <v>3</v>
          </cell>
        </row>
        <row r="17">
          <cell r="D17">
            <v>3</v>
          </cell>
        </row>
        <row r="18">
          <cell r="D18">
            <v>0</v>
          </cell>
        </row>
        <row r="19">
          <cell r="D19">
            <v>0.39901935106170183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</sheetNames>
    <sheetDataSet>
      <sheetData sheetId="0">
        <row r="5">
          <cell r="A5">
            <v>1</v>
          </cell>
          <cell r="B5" t="str">
            <v>BERGA/CORNWALL/RIO/ARUB</v>
          </cell>
          <cell r="D5" t="str">
            <v>1</v>
          </cell>
          <cell r="E5" t="str">
            <v>Island Top</v>
          </cell>
          <cell r="K5">
            <v>1</v>
          </cell>
          <cell r="L5">
            <v>0</v>
          </cell>
          <cell r="M5">
            <v>0</v>
          </cell>
          <cell r="N5">
            <v>0</v>
          </cell>
          <cell r="O5">
            <v>53</v>
          </cell>
          <cell r="P5">
            <v>23</v>
          </cell>
          <cell r="Q5">
            <v>23</v>
          </cell>
          <cell r="R5">
            <v>28.978732638888889</v>
          </cell>
        </row>
        <row r="6">
          <cell r="A6">
            <v>1</v>
          </cell>
          <cell r="B6" t="str">
            <v>BERGA/CORNWALL/RIO/ARUB</v>
          </cell>
          <cell r="D6" t="str">
            <v>2</v>
          </cell>
          <cell r="E6" t="str">
            <v>Return Top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51</v>
          </cell>
          <cell r="P6">
            <v>10.083333333333334</v>
          </cell>
          <cell r="Q6">
            <v>5.041666666666667</v>
          </cell>
          <cell r="R6">
            <v>6.2139756944444446</v>
          </cell>
        </row>
        <row r="7">
          <cell r="A7">
            <v>1</v>
          </cell>
          <cell r="B7" t="str">
            <v>BERGA/CORNWALL/RIO/ARUB</v>
          </cell>
          <cell r="D7" t="str">
            <v>3</v>
          </cell>
          <cell r="E7" t="str">
            <v>Main Run Top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51</v>
          </cell>
          <cell r="P7">
            <v>15.541666666666666</v>
          </cell>
          <cell r="Q7">
            <v>7.770833333333333</v>
          </cell>
          <cell r="R7">
            <v>12.0703125</v>
          </cell>
        </row>
        <row r="8">
          <cell r="A8">
            <v>1</v>
          </cell>
          <cell r="B8" t="str">
            <v>BERGA/CORNWALL/RIO/ARUB</v>
          </cell>
          <cell r="D8" t="str">
            <v>4</v>
          </cell>
          <cell r="E8" t="str">
            <v>Countertop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51</v>
          </cell>
          <cell r="P8">
            <v>10.083333333333334</v>
          </cell>
          <cell r="Q8">
            <v>5.041666666666667</v>
          </cell>
          <cell r="R8">
            <v>6.2139756944444446</v>
          </cell>
        </row>
        <row r="9">
          <cell r="A9">
            <v>2</v>
          </cell>
          <cell r="B9" t="str">
            <v>BERGA/CORNWALL/RIO/ARUB</v>
          </cell>
          <cell r="D9" t="str">
            <v>5</v>
          </cell>
          <cell r="E9" t="str">
            <v>MB Vanity Top (double sink)</v>
          </cell>
          <cell r="K9">
            <v>2</v>
          </cell>
          <cell r="L9">
            <v>0</v>
          </cell>
          <cell r="M9">
            <v>0</v>
          </cell>
          <cell r="N9">
            <v>0</v>
          </cell>
          <cell r="O9">
            <v>66</v>
          </cell>
          <cell r="P9">
            <v>18.291666666666668</v>
          </cell>
          <cell r="Q9">
            <v>9.1458333333333339</v>
          </cell>
          <cell r="R9">
            <v>13.744791666666666</v>
          </cell>
        </row>
        <row r="10">
          <cell r="A10">
            <v>3</v>
          </cell>
          <cell r="B10" t="str">
            <v>BERGA/CORNWALL/RIO/ARUB</v>
          </cell>
          <cell r="D10" t="str">
            <v>6</v>
          </cell>
          <cell r="E10" t="str">
            <v>B2 Vanity Top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51</v>
          </cell>
          <cell r="P10">
            <v>10.25</v>
          </cell>
          <cell r="Q10">
            <v>5.125</v>
          </cell>
          <cell r="R10">
            <v>6.1219618055555554</v>
          </cell>
        </row>
        <row r="11">
          <cell r="A11">
            <v>4</v>
          </cell>
          <cell r="B11" t="str">
            <v>BONDS/MAYS/AARON/DIMAGGIO/GEHRIG/WANGER - Set 1 (As Shown)</v>
          </cell>
          <cell r="D11" t="str">
            <v>1A</v>
          </cell>
          <cell r="E11" t="str">
            <v>Main Run Top (w/ 1-5/8" back strip)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53</v>
          </cell>
          <cell r="P11">
            <v>26.375</v>
          </cell>
          <cell r="Q11">
            <v>13.1875</v>
          </cell>
          <cell r="R11">
            <v>29.493055555555557</v>
          </cell>
        </row>
        <row r="12">
          <cell r="A12">
            <v>4</v>
          </cell>
          <cell r="B12" t="str">
            <v>BONDS/MAYS/AARON/DIMAGGIO/GEHRIG/WANGER - Set 1 (As Shown)</v>
          </cell>
          <cell r="D12" t="str">
            <v>1B</v>
          </cell>
          <cell r="E12" t="str">
            <v>Return Top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50</v>
          </cell>
          <cell r="P12">
            <v>7.083333333333333</v>
          </cell>
          <cell r="Q12">
            <v>3.5416666666666665</v>
          </cell>
          <cell r="R12">
            <v>2.9952256944444446</v>
          </cell>
        </row>
        <row r="13">
          <cell r="A13">
            <v>4</v>
          </cell>
          <cell r="B13" t="str">
            <v>BONDS/MAYS/AARON/DIMAGGIO/GEHRIG/WANGER - Set 1 (As Shown)</v>
          </cell>
          <cell r="D13" t="str">
            <v>2A</v>
          </cell>
          <cell r="E13" t="str">
            <v>Return Top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50</v>
          </cell>
          <cell r="P13">
            <v>7.25</v>
          </cell>
          <cell r="Q13">
            <v>3.625</v>
          </cell>
          <cell r="R13">
            <v>3.1740451388888888</v>
          </cell>
        </row>
        <row r="14">
          <cell r="A14">
            <v>4</v>
          </cell>
          <cell r="B14" t="str">
            <v>BONDS/MAYS/AARON/DIMAGGIO/GEHRIG/WANGER - Set 1 (As Shown)</v>
          </cell>
          <cell r="D14" t="str">
            <v>2B</v>
          </cell>
          <cell r="E14" t="str">
            <v>Countertop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50</v>
          </cell>
          <cell r="P14">
            <v>11.875</v>
          </cell>
          <cell r="Q14">
            <v>5.9375</v>
          </cell>
          <cell r="R14">
            <v>8.1362847222222214</v>
          </cell>
        </row>
        <row r="15">
          <cell r="A15">
            <v>5</v>
          </cell>
          <cell r="B15" t="str">
            <v>BONDS/MAYS/AARON/DIMAGGIO/GEHRIG/WANGER - Set 1 (As Shown)</v>
          </cell>
          <cell r="D15" t="str">
            <v>3</v>
          </cell>
          <cell r="E15" t="str">
            <v>MB Vanity Top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50</v>
          </cell>
          <cell r="P15">
            <v>12.25</v>
          </cell>
          <cell r="Q15">
            <v>6.125</v>
          </cell>
          <cell r="R15">
            <v>8.0177951388888893</v>
          </cell>
        </row>
        <row r="16">
          <cell r="A16">
            <v>7</v>
          </cell>
          <cell r="B16" t="str">
            <v>BONDS/MAYS/AARON/DIMAGGIO/GEHRIG/WANGER - Set 2 (Reverse)</v>
          </cell>
          <cell r="D16" t="str">
            <v>5A</v>
          </cell>
          <cell r="E16" t="str">
            <v>Main Run Top (w/ 1-5/8" back strip)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50</v>
          </cell>
          <cell r="P16">
            <v>26.375</v>
          </cell>
          <cell r="Q16">
            <v>13.1875</v>
          </cell>
          <cell r="R16">
            <v>29.493055555555557</v>
          </cell>
        </row>
        <row r="17">
          <cell r="A17">
            <v>7</v>
          </cell>
          <cell r="B17" t="str">
            <v>BONDS/MAYS/AARON/DIMAGGIO/GEHRIG/WANGER - Set 2 (Reverse)</v>
          </cell>
          <cell r="D17" t="str">
            <v>5B</v>
          </cell>
          <cell r="E17" t="str">
            <v>Return Top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50</v>
          </cell>
          <cell r="P17">
            <v>7.083333333333333</v>
          </cell>
          <cell r="Q17">
            <v>3.5416666666666665</v>
          </cell>
          <cell r="R17">
            <v>2.9952256944444446</v>
          </cell>
        </row>
        <row r="18">
          <cell r="A18">
            <v>7</v>
          </cell>
          <cell r="B18" t="str">
            <v>BONDS/MAYS/AARON/DIMAGGIO/GEHRIG/WANGER - Set 2 (Reverse)</v>
          </cell>
          <cell r="D18" t="str">
            <v>6A</v>
          </cell>
          <cell r="E18" t="str">
            <v>Return Top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50</v>
          </cell>
          <cell r="P18">
            <v>7.25</v>
          </cell>
          <cell r="Q18">
            <v>3.625</v>
          </cell>
          <cell r="R18">
            <v>3.1740451388888888</v>
          </cell>
        </row>
        <row r="19">
          <cell r="A19">
            <v>7</v>
          </cell>
          <cell r="B19" t="str">
            <v>BONDS/MAYS/AARON/DIMAGGIO/GEHRIG/WANGER - Set 2 (Reverse)</v>
          </cell>
          <cell r="D19" t="str">
            <v>6B</v>
          </cell>
          <cell r="E19" t="str">
            <v>Countertop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50</v>
          </cell>
          <cell r="P19">
            <v>11.875</v>
          </cell>
          <cell r="Q19">
            <v>5.9375</v>
          </cell>
          <cell r="R19">
            <v>8.1362847222222214</v>
          </cell>
        </row>
        <row r="20">
          <cell r="A20">
            <v>8</v>
          </cell>
          <cell r="B20" t="str">
            <v>BONDS/MAYS/AARON/DIMAGGIO/GEHRIG/WANGER - Set 2 (Reverse)</v>
          </cell>
          <cell r="D20" t="str">
            <v>7</v>
          </cell>
          <cell r="E20" t="str">
            <v>MB Vanity Top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50</v>
          </cell>
          <cell r="P20">
            <v>12.25</v>
          </cell>
          <cell r="Q20">
            <v>6.125</v>
          </cell>
          <cell r="R20">
            <v>8.0177951388888893</v>
          </cell>
        </row>
        <row r="21">
          <cell r="A21">
            <v>9</v>
          </cell>
          <cell r="B21" t="str">
            <v>BONDS/MAYS/AARON/DIMAGGIO/GEHRIG/WANGER - Set 3 (No Sink)</v>
          </cell>
          <cell r="D21" t="str">
            <v>8A</v>
          </cell>
          <cell r="E21" t="str">
            <v>Main Run Top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105</v>
          </cell>
          <cell r="P21">
            <v>26.375</v>
          </cell>
          <cell r="Q21">
            <v>13.1875</v>
          </cell>
          <cell r="R21">
            <v>29.493055555555557</v>
          </cell>
        </row>
        <row r="22">
          <cell r="A22">
            <v>9</v>
          </cell>
          <cell r="B22" t="str">
            <v>BONDS/MAYS/AARON/DIMAGGIO/GEHRIG/WANGER - Set 3 (No Sink)</v>
          </cell>
          <cell r="D22" t="str">
            <v>8B</v>
          </cell>
          <cell r="E22" t="str">
            <v>Return Top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100</v>
          </cell>
          <cell r="P22">
            <v>7.083333333333333</v>
          </cell>
          <cell r="Q22">
            <v>3.5416666666666665</v>
          </cell>
          <cell r="R22">
            <v>2.9952256944444446</v>
          </cell>
        </row>
        <row r="23">
          <cell r="A23">
            <v>9</v>
          </cell>
          <cell r="B23" t="str">
            <v>BONDS/MAYS/AARON/DIMAGGIO/GEHRIG/WANGER - Set 3 (No Sink)</v>
          </cell>
          <cell r="D23" t="str">
            <v>9A</v>
          </cell>
          <cell r="E23" t="str">
            <v>Return Top</v>
          </cell>
          <cell r="K23">
            <v>0</v>
          </cell>
          <cell r="L23">
            <v>0</v>
          </cell>
          <cell r="M23">
            <v>0</v>
          </cell>
          <cell r="N23">
            <v>1</v>
          </cell>
          <cell r="O23">
            <v>100</v>
          </cell>
          <cell r="P23">
            <v>7.25</v>
          </cell>
          <cell r="Q23">
            <v>3.625</v>
          </cell>
          <cell r="R23">
            <v>3.1740451388888888</v>
          </cell>
        </row>
        <row r="24">
          <cell r="A24">
            <v>9</v>
          </cell>
          <cell r="B24" t="str">
            <v>BONDS/MAYS/AARON/DIMAGGIO/GEHRIG/WANGER - Set 3 (No Sink)</v>
          </cell>
          <cell r="D24" t="str">
            <v>9B</v>
          </cell>
          <cell r="E24" t="str">
            <v>Countertop</v>
          </cell>
          <cell r="K24">
            <v>0</v>
          </cell>
          <cell r="L24">
            <v>0</v>
          </cell>
          <cell r="M24">
            <v>0</v>
          </cell>
          <cell r="N24">
            <v>1</v>
          </cell>
          <cell r="O24">
            <v>100</v>
          </cell>
          <cell r="P24">
            <v>11.875</v>
          </cell>
          <cell r="Q24">
            <v>5.9375</v>
          </cell>
          <cell r="R24">
            <v>8.1362847222222214</v>
          </cell>
        </row>
        <row r="25">
          <cell r="A25">
            <v>10</v>
          </cell>
          <cell r="B25" t="str">
            <v>BONDS/MAYS/AARON/DIMAGGIO/GEHRIG/WANGER - Set 3 (No Sink)</v>
          </cell>
          <cell r="D25" t="str">
            <v>10</v>
          </cell>
          <cell r="E25" t="str">
            <v>MB Vanity Top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100</v>
          </cell>
          <cell r="P25">
            <v>12.25</v>
          </cell>
          <cell r="Q25">
            <v>6.125</v>
          </cell>
          <cell r="R25">
            <v>8.0177951388888893</v>
          </cell>
        </row>
        <row r="26">
          <cell r="A26">
            <v>6</v>
          </cell>
          <cell r="B26" t="str">
            <v>BONDS/MAYS/AARON/DIMAGGIO/GEHRIG/WANGER - All Units (B2 Vanity)</v>
          </cell>
          <cell r="D26" t="str">
            <v>4</v>
          </cell>
          <cell r="E26" t="str">
            <v>B2 Vanity Top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200</v>
          </cell>
          <cell r="P26">
            <v>10.25</v>
          </cell>
          <cell r="Q26">
            <v>5.125</v>
          </cell>
          <cell r="R26">
            <v>6.1219618055555554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505-6AFC-4571-BC9D-5815E4193230}">
  <dimension ref="A1:P26"/>
  <sheetViews>
    <sheetView showGridLines="0" tabSelected="1" zoomScaleNormal="100" workbookViewId="0">
      <pane ySplit="3" topLeftCell="A4" activePane="bottomLeft" state="frozen"/>
      <selection pane="bottomLeft" sqref="A1:XFD1"/>
    </sheetView>
  </sheetViews>
  <sheetFormatPr defaultColWidth="8.7109375" defaultRowHeight="15" x14ac:dyDescent="0.25"/>
  <cols>
    <col min="1" max="1" width="6" customWidth="1"/>
    <col min="2" max="2" width="34" customWidth="1"/>
    <col min="3" max="3" width="7" customWidth="1"/>
    <col min="4" max="4" width="28" customWidth="1"/>
    <col min="5" max="6" width="9" customWidth="1"/>
    <col min="7" max="7" width="12" customWidth="1"/>
    <col min="8" max="10" width="11" customWidth="1"/>
    <col min="11" max="11" width="9" customWidth="1"/>
    <col min="12" max="12" width="10" customWidth="1"/>
    <col min="13" max="13" width="8" customWidth="1"/>
    <col min="14" max="15" width="11" customWidth="1"/>
    <col min="16" max="16" width="14" customWidth="1"/>
  </cols>
  <sheetData>
    <row r="1" spans="1:16" s="18" customFormat="1" ht="16.5" x14ac:dyDescent="0.25">
      <c r="A1" s="18" t="s">
        <v>19</v>
      </c>
    </row>
    <row r="2" spans="1:16" s="17" customFormat="1" ht="15" customHeight="1" x14ac:dyDescent="0.25">
      <c r="A2" s="17" t="s">
        <v>18</v>
      </c>
    </row>
    <row r="3" spans="1:16" x14ac:dyDescent="0.25">
      <c r="A3" s="16" t="s">
        <v>17</v>
      </c>
      <c r="B3" s="16" t="s">
        <v>16</v>
      </c>
      <c r="C3" s="16" t="s">
        <v>15</v>
      </c>
      <c r="D3" s="16" t="s">
        <v>14</v>
      </c>
      <c r="E3" s="16" t="s">
        <v>13</v>
      </c>
      <c r="F3" s="16" t="s">
        <v>12</v>
      </c>
      <c r="G3" s="16" t="s">
        <v>11</v>
      </c>
      <c r="H3" s="16" t="s">
        <v>10</v>
      </c>
      <c r="I3" s="16" t="s">
        <v>9</v>
      </c>
      <c r="J3" s="16" t="s">
        <v>8</v>
      </c>
      <c r="K3" s="16" t="s">
        <v>7</v>
      </c>
      <c r="L3" s="16" t="s">
        <v>6</v>
      </c>
      <c r="M3" s="16" t="s">
        <v>5</v>
      </c>
      <c r="N3" s="16" t="s">
        <v>4</v>
      </c>
      <c r="O3" s="16" t="s">
        <v>3</v>
      </c>
      <c r="P3" s="16" t="s">
        <v>2</v>
      </c>
    </row>
    <row r="4" spans="1:16" x14ac:dyDescent="0.25">
      <c r="A4" s="10">
        <f>'[2]Drawing Summary'!A5</f>
        <v>1</v>
      </c>
      <c r="B4" s="9" t="str">
        <f>'[2]Drawing Summary'!B5</f>
        <v>BERGA/CORNWALL/RIO/ARUB</v>
      </c>
      <c r="C4" s="10" t="str">
        <f>'[2]Drawing Summary'!D5</f>
        <v>1</v>
      </c>
      <c r="D4" s="9" t="str">
        <f>'[2]Drawing Summary'!E5</f>
        <v>Island Top</v>
      </c>
      <c r="E4" s="8">
        <f>'[2]Drawing Summary'!R5</f>
        <v>28.978732638888889</v>
      </c>
      <c r="F4" s="7">
        <f>'[2]Drawing Summary'!O5</f>
        <v>53</v>
      </c>
      <c r="G4" s="6">
        <f>E4*[1]Variables!$D$12</f>
        <v>101.42556423611111</v>
      </c>
      <c r="H4" s="6">
        <f>'[2]Drawing Summary'!P5*[1]Variables!$D$13</f>
        <v>6.8999999999999995</v>
      </c>
      <c r="I4" s="6">
        <f>'[2]Drawing Summary'!Q5*[1]Variables!$D$14</f>
        <v>9.2000000000000011</v>
      </c>
      <c r="J4" s="6">
        <f>'[2]Drawing Summary'!K5*[1]Variables!$D$15</f>
        <v>4</v>
      </c>
      <c r="K4" s="6">
        <f>'[2]Drawing Summary'!L5*[1]Variables!$D$16</f>
        <v>0</v>
      </c>
      <c r="L4" s="6">
        <f>'[2]Drawing Summary'!M5*[1]Variables!$D$17</f>
        <v>0</v>
      </c>
      <c r="M4" s="6">
        <f>'[2]Drawing Summary'!N5*[1]Variables!$D$18</f>
        <v>0</v>
      </c>
      <c r="N4" s="6">
        <f>E4*[1]Variables!$D$19</f>
        <v>11.563075092160004</v>
      </c>
      <c r="O4" s="6">
        <f>SUM(G4:N4)</f>
        <v>133.08863932827111</v>
      </c>
      <c r="P4" s="6">
        <f>O4*F4</f>
        <v>7053.6978843983688</v>
      </c>
    </row>
    <row r="5" spans="1:16" x14ac:dyDescent="0.25">
      <c r="A5" s="10">
        <f>'[2]Drawing Summary'!A6</f>
        <v>1</v>
      </c>
      <c r="B5" s="9" t="str">
        <f>'[2]Drawing Summary'!B6</f>
        <v>BERGA/CORNWALL/RIO/ARUB</v>
      </c>
      <c r="C5" s="10" t="str">
        <f>'[2]Drawing Summary'!D6</f>
        <v>2</v>
      </c>
      <c r="D5" s="9" t="str">
        <f>'[2]Drawing Summary'!E6</f>
        <v>Return Top</v>
      </c>
      <c r="E5" s="8">
        <f>'[2]Drawing Summary'!R6</f>
        <v>6.2139756944444446</v>
      </c>
      <c r="F5" s="7">
        <f>'[2]Drawing Summary'!O6</f>
        <v>51</v>
      </c>
      <c r="G5" s="6">
        <f>E5*[1]Variables!$D$12</f>
        <v>21.748914930555557</v>
      </c>
      <c r="H5" s="6">
        <f>'[2]Drawing Summary'!P6*[1]Variables!$D$13</f>
        <v>3.0249999999999999</v>
      </c>
      <c r="I5" s="6">
        <f>'[2]Drawing Summary'!Q6*[1]Variables!$D$14</f>
        <v>2.0166666666666671</v>
      </c>
      <c r="J5" s="6">
        <f>'[2]Drawing Summary'!K6*[1]Variables!$D$15</f>
        <v>0</v>
      </c>
      <c r="K5" s="6">
        <f>'[2]Drawing Summary'!L6*[1]Variables!$D$16</f>
        <v>0</v>
      </c>
      <c r="L5" s="6">
        <f>'[2]Drawing Summary'!M6*[1]Variables!$D$17</f>
        <v>0</v>
      </c>
      <c r="M5" s="6">
        <f>'[2]Drawing Summary'!N6*[1]Variables!$D$18</f>
        <v>0</v>
      </c>
      <c r="N5" s="6">
        <f>E5*[1]Variables!$D$19</f>
        <v>2.4794965491104102</v>
      </c>
      <c r="O5" s="6">
        <f>SUM(G5:N5)</f>
        <v>29.270078146332633</v>
      </c>
      <c r="P5" s="6">
        <f>O5*F5</f>
        <v>1492.7739854629642</v>
      </c>
    </row>
    <row r="6" spans="1:16" x14ac:dyDescent="0.25">
      <c r="A6" s="10">
        <f>'[2]Drawing Summary'!A7</f>
        <v>1</v>
      </c>
      <c r="B6" s="9" t="str">
        <f>'[2]Drawing Summary'!B7</f>
        <v>BERGA/CORNWALL/RIO/ARUB</v>
      </c>
      <c r="C6" s="10" t="str">
        <f>'[2]Drawing Summary'!D7</f>
        <v>3</v>
      </c>
      <c r="D6" s="9" t="str">
        <f>'[2]Drawing Summary'!E7</f>
        <v>Main Run Top</v>
      </c>
      <c r="E6" s="8">
        <f>'[2]Drawing Summary'!R7</f>
        <v>12.0703125</v>
      </c>
      <c r="F6" s="7">
        <f>'[2]Drawing Summary'!O7</f>
        <v>51</v>
      </c>
      <c r="G6" s="6">
        <f>E6*[1]Variables!$D$12</f>
        <v>42.24609375</v>
      </c>
      <c r="H6" s="6">
        <f>'[2]Drawing Summary'!P7*[1]Variables!$D$13</f>
        <v>4.6624999999999996</v>
      </c>
      <c r="I6" s="6">
        <f>'[2]Drawing Summary'!Q7*[1]Variables!$D$14</f>
        <v>3.1083333333333334</v>
      </c>
      <c r="J6" s="6">
        <f>'[2]Drawing Summary'!K7*[1]Variables!$D$15</f>
        <v>0</v>
      </c>
      <c r="K6" s="6">
        <f>'[2]Drawing Summary'!L7*[1]Variables!$D$16</f>
        <v>0</v>
      </c>
      <c r="L6" s="6">
        <f>'[2]Drawing Summary'!M7*[1]Variables!$D$17</f>
        <v>0</v>
      </c>
      <c r="M6" s="6">
        <f>'[2]Drawing Summary'!N7*[1]Variables!$D$18</f>
        <v>0</v>
      </c>
      <c r="N6" s="6">
        <f>E6*[1]Variables!$D$19</f>
        <v>4.8162882608619482</v>
      </c>
      <c r="O6" s="6">
        <f>SUM(G6:N6)</f>
        <v>54.833215344195281</v>
      </c>
      <c r="P6" s="6">
        <f>O6*F6</f>
        <v>2796.4939825539595</v>
      </c>
    </row>
    <row r="7" spans="1:16" x14ac:dyDescent="0.25">
      <c r="A7" s="10">
        <f>'[2]Drawing Summary'!A8</f>
        <v>1</v>
      </c>
      <c r="B7" s="9" t="str">
        <f>'[2]Drawing Summary'!B8</f>
        <v>BERGA/CORNWALL/RIO/ARUB</v>
      </c>
      <c r="C7" s="10" t="str">
        <f>'[2]Drawing Summary'!D8</f>
        <v>4</v>
      </c>
      <c r="D7" s="9" t="str">
        <f>'[2]Drawing Summary'!E8</f>
        <v>Countertop</v>
      </c>
      <c r="E7" s="8">
        <f>'[2]Drawing Summary'!R8</f>
        <v>6.2139756944444446</v>
      </c>
      <c r="F7" s="7">
        <f>'[2]Drawing Summary'!O8</f>
        <v>51</v>
      </c>
      <c r="G7" s="6">
        <f>E7*[1]Variables!$D$12</f>
        <v>21.748914930555557</v>
      </c>
      <c r="H7" s="6">
        <f>'[2]Drawing Summary'!P8*[1]Variables!$D$13</f>
        <v>3.0249999999999999</v>
      </c>
      <c r="I7" s="6">
        <f>'[2]Drawing Summary'!Q8*[1]Variables!$D$14</f>
        <v>2.0166666666666671</v>
      </c>
      <c r="J7" s="6">
        <f>'[2]Drawing Summary'!K8*[1]Variables!$D$15</f>
        <v>0</v>
      </c>
      <c r="K7" s="6">
        <f>'[2]Drawing Summary'!L8*[1]Variables!$D$16</f>
        <v>0</v>
      </c>
      <c r="L7" s="6">
        <f>'[2]Drawing Summary'!M8*[1]Variables!$D$17</f>
        <v>0</v>
      </c>
      <c r="M7" s="6">
        <f>'[2]Drawing Summary'!N8*[1]Variables!$D$18</f>
        <v>0</v>
      </c>
      <c r="N7" s="6">
        <f>E7*[1]Variables!$D$19</f>
        <v>2.4794965491104102</v>
      </c>
      <c r="O7" s="6">
        <f>SUM(G7:N7)</f>
        <v>29.270078146332633</v>
      </c>
      <c r="P7" s="6">
        <f>O7*F7</f>
        <v>1492.7739854629642</v>
      </c>
    </row>
    <row r="8" spans="1:16" x14ac:dyDescent="0.25">
      <c r="A8" s="10">
        <f>'[2]Drawing Summary'!A9</f>
        <v>2</v>
      </c>
      <c r="B8" s="9" t="str">
        <f>'[2]Drawing Summary'!B9</f>
        <v>BERGA/CORNWALL/RIO/ARUB</v>
      </c>
      <c r="C8" s="10" t="str">
        <f>'[2]Drawing Summary'!D9</f>
        <v>5</v>
      </c>
      <c r="D8" s="9" t="str">
        <f>'[2]Drawing Summary'!E9</f>
        <v>MB Vanity Top (double sink)</v>
      </c>
      <c r="E8" s="8">
        <f>'[2]Drawing Summary'!R9</f>
        <v>13.744791666666666</v>
      </c>
      <c r="F8" s="7">
        <f>'[2]Drawing Summary'!O9</f>
        <v>66</v>
      </c>
      <c r="G8" s="6">
        <f>E8*[1]Variables!$D$12</f>
        <v>48.106770833333329</v>
      </c>
      <c r="H8" s="6">
        <f>'[2]Drawing Summary'!P9*[1]Variables!$D$13</f>
        <v>5.4874999999999998</v>
      </c>
      <c r="I8" s="6">
        <f>'[2]Drawing Summary'!Q9*[1]Variables!$D$14</f>
        <v>3.6583333333333337</v>
      </c>
      <c r="J8" s="6">
        <f>'[2]Drawing Summary'!K9*[1]Variables!$D$15</f>
        <v>8</v>
      </c>
      <c r="K8" s="6">
        <f>'[2]Drawing Summary'!L9*[1]Variables!$D$16</f>
        <v>0</v>
      </c>
      <c r="L8" s="6">
        <f>'[2]Drawing Summary'!M9*[1]Variables!$D$17</f>
        <v>0</v>
      </c>
      <c r="M8" s="6">
        <f>'[2]Drawing Summary'!N9*[1]Variables!$D$18</f>
        <v>0</v>
      </c>
      <c r="N8" s="6">
        <f>E8*[1]Variables!$D$19</f>
        <v>5.4844378513116201</v>
      </c>
      <c r="O8" s="6">
        <f>SUM(G8:N8)</f>
        <v>70.737042017978283</v>
      </c>
      <c r="P8" s="6">
        <f>O8*F8</f>
        <v>4668.6447731865665</v>
      </c>
    </row>
    <row r="9" spans="1:16" x14ac:dyDescent="0.25">
      <c r="A9" s="10">
        <f>'[2]Drawing Summary'!A10</f>
        <v>3</v>
      </c>
      <c r="B9" s="9" t="str">
        <f>'[2]Drawing Summary'!B10</f>
        <v>BERGA/CORNWALL/RIO/ARUB</v>
      </c>
      <c r="C9" s="10" t="str">
        <f>'[2]Drawing Summary'!D10</f>
        <v>6</v>
      </c>
      <c r="D9" s="9" t="str">
        <f>'[2]Drawing Summary'!E10</f>
        <v>B2 Vanity Top</v>
      </c>
      <c r="E9" s="8">
        <f>'[2]Drawing Summary'!R10</f>
        <v>6.1219618055555554</v>
      </c>
      <c r="F9" s="7">
        <f>'[2]Drawing Summary'!O10</f>
        <v>51</v>
      </c>
      <c r="G9" s="6">
        <f>E9*[1]Variables!$D$12</f>
        <v>21.426866319444443</v>
      </c>
      <c r="H9" s="6">
        <f>'[2]Drawing Summary'!P10*[1]Variables!$D$13</f>
        <v>3.0749999999999997</v>
      </c>
      <c r="I9" s="6">
        <f>'[2]Drawing Summary'!Q10*[1]Variables!$D$14</f>
        <v>2.0500000000000003</v>
      </c>
      <c r="J9" s="6">
        <f>'[2]Drawing Summary'!K10*[1]Variables!$D$15</f>
        <v>4</v>
      </c>
      <c r="K9" s="6">
        <f>'[2]Drawing Summary'!L10*[1]Variables!$D$16</f>
        <v>0</v>
      </c>
      <c r="L9" s="6">
        <f>'[2]Drawing Summary'!M10*[1]Variables!$D$17</f>
        <v>0</v>
      </c>
      <c r="M9" s="6">
        <f>'[2]Drawing Summary'!N10*[1]Variables!$D$18</f>
        <v>0</v>
      </c>
      <c r="N9" s="6">
        <f>E9*[1]Variables!$D$19</f>
        <v>2.4427812268773024</v>
      </c>
      <c r="O9" s="6">
        <f>SUM(G9:N9)</f>
        <v>32.994647546321744</v>
      </c>
      <c r="P9" s="6">
        <f>O9*F9</f>
        <v>1682.7270248624091</v>
      </c>
    </row>
    <row r="10" spans="1:16" x14ac:dyDescent="0.25">
      <c r="A10" s="15">
        <f>'[2]Drawing Summary'!A11</f>
        <v>4</v>
      </c>
      <c r="B10" s="14" t="str">
        <f>'[2]Drawing Summary'!B11</f>
        <v>BONDS/MAYS/AARON/DIMAGGIO/GEHRIG/WANGER - Set 1 (As Shown)</v>
      </c>
      <c r="C10" s="15" t="str">
        <f>'[2]Drawing Summary'!D11</f>
        <v>1A</v>
      </c>
      <c r="D10" s="14" t="str">
        <f>'[2]Drawing Summary'!E11</f>
        <v>Main Run Top (w/ 1-5/8" back strip)</v>
      </c>
      <c r="E10" s="13">
        <f>'[2]Drawing Summary'!R11</f>
        <v>29.493055555555557</v>
      </c>
      <c r="F10" s="12">
        <f>'[2]Drawing Summary'!O11</f>
        <v>53</v>
      </c>
      <c r="G10" s="11">
        <f>E10*[1]Variables!$D$12</f>
        <v>103.22569444444446</v>
      </c>
      <c r="H10" s="11">
        <f>'[2]Drawing Summary'!P11*[1]Variables!$D$13</f>
        <v>7.9124999999999996</v>
      </c>
      <c r="I10" s="11">
        <f>'[2]Drawing Summary'!Q11*[1]Variables!$D$14</f>
        <v>5.2750000000000004</v>
      </c>
      <c r="J10" s="11">
        <f>'[2]Drawing Summary'!K11*[1]Variables!$D$15</f>
        <v>4</v>
      </c>
      <c r="K10" s="11">
        <f>'[2]Drawing Summary'!L11*[1]Variables!$D$16</f>
        <v>0</v>
      </c>
      <c r="L10" s="11">
        <f>'[2]Drawing Summary'!M11*[1]Variables!$D$17</f>
        <v>0</v>
      </c>
      <c r="M10" s="11">
        <f>'[2]Drawing Summary'!N11*[1]Variables!$D$18</f>
        <v>0</v>
      </c>
      <c r="N10" s="11">
        <f>E10*[1]Variables!$D$19</f>
        <v>11.768299888604499</v>
      </c>
      <c r="O10" s="11">
        <f>SUM(G10:N10)</f>
        <v>132.18149433304896</v>
      </c>
      <c r="P10" s="11">
        <f>O10*F10</f>
        <v>7005.6191996515945</v>
      </c>
    </row>
    <row r="11" spans="1:16" x14ac:dyDescent="0.25">
      <c r="A11" s="15">
        <f>'[2]Drawing Summary'!A12</f>
        <v>4</v>
      </c>
      <c r="B11" s="14" t="str">
        <f>'[2]Drawing Summary'!B12</f>
        <v>BONDS/MAYS/AARON/DIMAGGIO/GEHRIG/WANGER - Set 1 (As Shown)</v>
      </c>
      <c r="C11" s="15" t="str">
        <f>'[2]Drawing Summary'!D12</f>
        <v>1B</v>
      </c>
      <c r="D11" s="14" t="str">
        <f>'[2]Drawing Summary'!E12</f>
        <v>Return Top</v>
      </c>
      <c r="E11" s="13">
        <f>'[2]Drawing Summary'!R12</f>
        <v>2.9952256944444446</v>
      </c>
      <c r="F11" s="12">
        <f>'[2]Drawing Summary'!O12</f>
        <v>50</v>
      </c>
      <c r="G11" s="11">
        <f>E11*[1]Variables!$D$12</f>
        <v>10.483289930555557</v>
      </c>
      <c r="H11" s="11">
        <f>'[2]Drawing Summary'!P12*[1]Variables!$D$13</f>
        <v>2.125</v>
      </c>
      <c r="I11" s="11">
        <f>'[2]Drawing Summary'!Q12*[1]Variables!$D$14</f>
        <v>1.4166666666666667</v>
      </c>
      <c r="J11" s="11">
        <f>'[2]Drawing Summary'!K12*[1]Variables!$D$15</f>
        <v>0</v>
      </c>
      <c r="K11" s="11">
        <f>'[2]Drawing Summary'!L12*[1]Variables!$D$16</f>
        <v>0</v>
      </c>
      <c r="L11" s="11">
        <f>'[2]Drawing Summary'!M12*[1]Variables!$D$17</f>
        <v>0</v>
      </c>
      <c r="M11" s="11">
        <f>'[2]Drawing Summary'!N12*[1]Variables!$D$18</f>
        <v>0</v>
      </c>
      <c r="N11" s="11">
        <f>E11*[1]Variables!$D$19</f>
        <v>1.1951530128805574</v>
      </c>
      <c r="O11" s="11">
        <f>SUM(G11:N11)</f>
        <v>15.220109610102782</v>
      </c>
      <c r="P11" s="11">
        <f>O11*F11</f>
        <v>761.00548050513908</v>
      </c>
    </row>
    <row r="12" spans="1:16" x14ac:dyDescent="0.25">
      <c r="A12" s="15">
        <f>'[2]Drawing Summary'!A13</f>
        <v>4</v>
      </c>
      <c r="B12" s="14" t="str">
        <f>'[2]Drawing Summary'!B13</f>
        <v>BONDS/MAYS/AARON/DIMAGGIO/GEHRIG/WANGER - Set 1 (As Shown)</v>
      </c>
      <c r="C12" s="15" t="str">
        <f>'[2]Drawing Summary'!D13</f>
        <v>2A</v>
      </c>
      <c r="D12" s="14" t="str">
        <f>'[2]Drawing Summary'!E13</f>
        <v>Return Top</v>
      </c>
      <c r="E12" s="13">
        <f>'[2]Drawing Summary'!R13</f>
        <v>3.1740451388888888</v>
      </c>
      <c r="F12" s="12">
        <f>'[2]Drawing Summary'!O13</f>
        <v>50</v>
      </c>
      <c r="G12" s="11">
        <f>E12*[1]Variables!$D$12</f>
        <v>11.109157986111111</v>
      </c>
      <c r="H12" s="11">
        <f>'[2]Drawing Summary'!P13*[1]Variables!$D$13</f>
        <v>2.1749999999999998</v>
      </c>
      <c r="I12" s="11">
        <f>'[2]Drawing Summary'!Q13*[1]Variables!$D$14</f>
        <v>1.4500000000000002</v>
      </c>
      <c r="J12" s="11">
        <f>'[2]Drawing Summary'!K13*[1]Variables!$D$15</f>
        <v>0</v>
      </c>
      <c r="K12" s="11">
        <f>'[2]Drawing Summary'!L13*[1]Variables!$D$16</f>
        <v>0</v>
      </c>
      <c r="L12" s="11">
        <f>'[2]Drawing Summary'!M13*[1]Variables!$D$17</f>
        <v>0</v>
      </c>
      <c r="M12" s="11">
        <f>'[2]Drawing Summary'!N13*[1]Variables!$D$18</f>
        <v>0</v>
      </c>
      <c r="N12" s="11">
        <f>E12*[1]Variables!$D$19</f>
        <v>1.2665054315599937</v>
      </c>
      <c r="O12" s="11">
        <f>SUM(G12:N12)</f>
        <v>16.000663417671106</v>
      </c>
      <c r="P12" s="11">
        <f>O12*F12</f>
        <v>800.03317088355527</v>
      </c>
    </row>
    <row r="13" spans="1:16" x14ac:dyDescent="0.25">
      <c r="A13" s="15">
        <f>'[2]Drawing Summary'!A14</f>
        <v>4</v>
      </c>
      <c r="B13" s="14" t="str">
        <f>'[2]Drawing Summary'!B14</f>
        <v>BONDS/MAYS/AARON/DIMAGGIO/GEHRIG/WANGER - Set 1 (As Shown)</v>
      </c>
      <c r="C13" s="15" t="str">
        <f>'[2]Drawing Summary'!D14</f>
        <v>2B</v>
      </c>
      <c r="D13" s="14" t="str">
        <f>'[2]Drawing Summary'!E14</f>
        <v>Countertop</v>
      </c>
      <c r="E13" s="13">
        <f>'[2]Drawing Summary'!R14</f>
        <v>8.1362847222222214</v>
      </c>
      <c r="F13" s="12">
        <f>'[2]Drawing Summary'!O14</f>
        <v>50</v>
      </c>
      <c r="G13" s="11">
        <f>E13*[1]Variables!$D$12</f>
        <v>28.476996527777775</v>
      </c>
      <c r="H13" s="11">
        <f>'[2]Drawing Summary'!P14*[1]Variables!$D$13</f>
        <v>3.5625</v>
      </c>
      <c r="I13" s="11">
        <f>'[2]Drawing Summary'!Q14*[1]Variables!$D$14</f>
        <v>2.375</v>
      </c>
      <c r="J13" s="11">
        <f>'[2]Drawing Summary'!K14*[1]Variables!$D$15</f>
        <v>0</v>
      </c>
      <c r="K13" s="11">
        <f>'[2]Drawing Summary'!L14*[1]Variables!$D$16</f>
        <v>0</v>
      </c>
      <c r="L13" s="11">
        <f>'[2]Drawing Summary'!M14*[1]Variables!$D$17</f>
        <v>0</v>
      </c>
      <c r="M13" s="11">
        <f>'[2]Drawing Summary'!N14*[1]Variables!$D$18</f>
        <v>0</v>
      </c>
      <c r="N13" s="11">
        <f>E13*[1]Variables!$D$19</f>
        <v>3.2465350499143497</v>
      </c>
      <c r="O13" s="11">
        <f>SUM(G13:N13)</f>
        <v>37.661031577692121</v>
      </c>
      <c r="P13" s="11">
        <f>O13*F13</f>
        <v>1883.051578884606</v>
      </c>
    </row>
    <row r="14" spans="1:16" x14ac:dyDescent="0.25">
      <c r="A14" s="15">
        <f>'[2]Drawing Summary'!A15</f>
        <v>5</v>
      </c>
      <c r="B14" s="14" t="str">
        <f>'[2]Drawing Summary'!B15</f>
        <v>BONDS/MAYS/AARON/DIMAGGIO/GEHRIG/WANGER - Set 1 (As Shown)</v>
      </c>
      <c r="C14" s="15" t="str">
        <f>'[2]Drawing Summary'!D15</f>
        <v>3</v>
      </c>
      <c r="D14" s="14" t="str">
        <f>'[2]Drawing Summary'!E15</f>
        <v>MB Vanity Top</v>
      </c>
      <c r="E14" s="13">
        <f>'[2]Drawing Summary'!R15</f>
        <v>8.0177951388888893</v>
      </c>
      <c r="F14" s="12">
        <f>'[2]Drawing Summary'!O15</f>
        <v>50</v>
      </c>
      <c r="G14" s="11">
        <f>E14*[1]Variables!$D$12</f>
        <v>28.062282986111114</v>
      </c>
      <c r="H14" s="11">
        <f>'[2]Drawing Summary'!P15*[1]Variables!$D$13</f>
        <v>3.6749999999999998</v>
      </c>
      <c r="I14" s="11">
        <f>'[2]Drawing Summary'!Q15*[1]Variables!$D$14</f>
        <v>2.4500000000000002</v>
      </c>
      <c r="J14" s="11">
        <f>'[2]Drawing Summary'!K15*[1]Variables!$D$15</f>
        <v>4</v>
      </c>
      <c r="K14" s="11">
        <f>'[2]Drawing Summary'!L15*[1]Variables!$D$16</f>
        <v>0</v>
      </c>
      <c r="L14" s="11">
        <f>'[2]Drawing Summary'!M15*[1]Variables!$D$17</f>
        <v>0</v>
      </c>
      <c r="M14" s="11">
        <f>'[2]Drawing Summary'!N15*[1]Variables!$D$18</f>
        <v>0</v>
      </c>
      <c r="N14" s="11">
        <f>E14*[1]Variables!$D$19</f>
        <v>3.1992554132651123</v>
      </c>
      <c r="O14" s="11">
        <f>SUM(G14:N14)</f>
        <v>41.386538399376228</v>
      </c>
      <c r="P14" s="11">
        <f>O14*F14</f>
        <v>2069.3269199688116</v>
      </c>
    </row>
    <row r="15" spans="1:16" x14ac:dyDescent="0.25">
      <c r="A15" s="10">
        <f>'[2]Drawing Summary'!A16</f>
        <v>7</v>
      </c>
      <c r="B15" s="9" t="str">
        <f>'[2]Drawing Summary'!B16</f>
        <v>BONDS/MAYS/AARON/DIMAGGIO/GEHRIG/WANGER - Set 2 (Reverse)</v>
      </c>
      <c r="C15" s="10" t="str">
        <f>'[2]Drawing Summary'!D16</f>
        <v>5A</v>
      </c>
      <c r="D15" s="9" t="str">
        <f>'[2]Drawing Summary'!E16</f>
        <v>Main Run Top (w/ 1-5/8" back strip)</v>
      </c>
      <c r="E15" s="8">
        <f>'[2]Drawing Summary'!R16</f>
        <v>29.493055555555557</v>
      </c>
      <c r="F15" s="7">
        <f>'[2]Drawing Summary'!O16</f>
        <v>50</v>
      </c>
      <c r="G15" s="6">
        <f>E15*[1]Variables!$D$12</f>
        <v>103.22569444444446</v>
      </c>
      <c r="H15" s="6">
        <f>'[2]Drawing Summary'!P16*[1]Variables!$D$13</f>
        <v>7.9124999999999996</v>
      </c>
      <c r="I15" s="6">
        <f>'[2]Drawing Summary'!Q16*[1]Variables!$D$14</f>
        <v>5.2750000000000004</v>
      </c>
      <c r="J15" s="6">
        <f>'[2]Drawing Summary'!K16*[1]Variables!$D$15</f>
        <v>4</v>
      </c>
      <c r="K15" s="6">
        <f>'[2]Drawing Summary'!L16*[1]Variables!$D$16</f>
        <v>0</v>
      </c>
      <c r="L15" s="6">
        <f>'[2]Drawing Summary'!M16*[1]Variables!$D$17</f>
        <v>0</v>
      </c>
      <c r="M15" s="6">
        <f>'[2]Drawing Summary'!N16*[1]Variables!$D$18</f>
        <v>0</v>
      </c>
      <c r="N15" s="6">
        <f>E15*[1]Variables!$D$19</f>
        <v>11.768299888604499</v>
      </c>
      <c r="O15" s="6">
        <f>SUM(G15:N15)</f>
        <v>132.18149433304896</v>
      </c>
      <c r="P15" s="6">
        <f>O15*F15</f>
        <v>6609.0747166524479</v>
      </c>
    </row>
    <row r="16" spans="1:16" x14ac:dyDescent="0.25">
      <c r="A16" s="10">
        <f>'[2]Drawing Summary'!A17</f>
        <v>7</v>
      </c>
      <c r="B16" s="9" t="str">
        <f>'[2]Drawing Summary'!B17</f>
        <v>BONDS/MAYS/AARON/DIMAGGIO/GEHRIG/WANGER - Set 2 (Reverse)</v>
      </c>
      <c r="C16" s="10" t="str">
        <f>'[2]Drawing Summary'!D17</f>
        <v>5B</v>
      </c>
      <c r="D16" s="9" t="str">
        <f>'[2]Drawing Summary'!E17</f>
        <v>Return Top</v>
      </c>
      <c r="E16" s="8">
        <f>'[2]Drawing Summary'!R17</f>
        <v>2.9952256944444446</v>
      </c>
      <c r="F16" s="7">
        <f>'[2]Drawing Summary'!O17</f>
        <v>50</v>
      </c>
      <c r="G16" s="6">
        <f>E16*[1]Variables!$D$12</f>
        <v>10.483289930555557</v>
      </c>
      <c r="H16" s="6">
        <f>'[2]Drawing Summary'!P17*[1]Variables!$D$13</f>
        <v>2.125</v>
      </c>
      <c r="I16" s="6">
        <f>'[2]Drawing Summary'!Q17*[1]Variables!$D$14</f>
        <v>1.4166666666666667</v>
      </c>
      <c r="J16" s="6">
        <f>'[2]Drawing Summary'!K17*[1]Variables!$D$15</f>
        <v>0</v>
      </c>
      <c r="K16" s="6">
        <f>'[2]Drawing Summary'!L17*[1]Variables!$D$16</f>
        <v>0</v>
      </c>
      <c r="L16" s="6">
        <f>'[2]Drawing Summary'!M17*[1]Variables!$D$17</f>
        <v>0</v>
      </c>
      <c r="M16" s="6">
        <f>'[2]Drawing Summary'!N17*[1]Variables!$D$18</f>
        <v>0</v>
      </c>
      <c r="N16" s="6">
        <f>E16*[1]Variables!$D$19</f>
        <v>1.1951530128805574</v>
      </c>
      <c r="O16" s="6">
        <f>SUM(G16:N16)</f>
        <v>15.220109610102782</v>
      </c>
      <c r="P16" s="6">
        <f>O16*F16</f>
        <v>761.00548050513908</v>
      </c>
    </row>
    <row r="17" spans="1:16" x14ac:dyDescent="0.25">
      <c r="A17" s="10">
        <f>'[2]Drawing Summary'!A18</f>
        <v>7</v>
      </c>
      <c r="B17" s="9" t="str">
        <f>'[2]Drawing Summary'!B18</f>
        <v>BONDS/MAYS/AARON/DIMAGGIO/GEHRIG/WANGER - Set 2 (Reverse)</v>
      </c>
      <c r="C17" s="10" t="str">
        <f>'[2]Drawing Summary'!D18</f>
        <v>6A</v>
      </c>
      <c r="D17" s="9" t="str">
        <f>'[2]Drawing Summary'!E18</f>
        <v>Return Top</v>
      </c>
      <c r="E17" s="8">
        <f>'[2]Drawing Summary'!R18</f>
        <v>3.1740451388888888</v>
      </c>
      <c r="F17" s="7">
        <f>'[2]Drawing Summary'!O18</f>
        <v>50</v>
      </c>
      <c r="G17" s="6">
        <f>E17*[1]Variables!$D$12</f>
        <v>11.109157986111111</v>
      </c>
      <c r="H17" s="6">
        <f>'[2]Drawing Summary'!P18*[1]Variables!$D$13</f>
        <v>2.1749999999999998</v>
      </c>
      <c r="I17" s="6">
        <f>'[2]Drawing Summary'!Q18*[1]Variables!$D$14</f>
        <v>1.4500000000000002</v>
      </c>
      <c r="J17" s="6">
        <f>'[2]Drawing Summary'!K18*[1]Variables!$D$15</f>
        <v>0</v>
      </c>
      <c r="K17" s="6">
        <f>'[2]Drawing Summary'!L18*[1]Variables!$D$16</f>
        <v>0</v>
      </c>
      <c r="L17" s="6">
        <f>'[2]Drawing Summary'!M18*[1]Variables!$D$17</f>
        <v>0</v>
      </c>
      <c r="M17" s="6">
        <f>'[2]Drawing Summary'!N18*[1]Variables!$D$18</f>
        <v>0</v>
      </c>
      <c r="N17" s="6">
        <f>E17*[1]Variables!$D$19</f>
        <v>1.2665054315599937</v>
      </c>
      <c r="O17" s="6">
        <f>SUM(G17:N17)</f>
        <v>16.000663417671106</v>
      </c>
      <c r="P17" s="6">
        <f>O17*F17</f>
        <v>800.03317088355527</v>
      </c>
    </row>
    <row r="18" spans="1:16" x14ac:dyDescent="0.25">
      <c r="A18" s="10">
        <f>'[2]Drawing Summary'!A19</f>
        <v>7</v>
      </c>
      <c r="B18" s="9" t="str">
        <f>'[2]Drawing Summary'!B19</f>
        <v>BONDS/MAYS/AARON/DIMAGGIO/GEHRIG/WANGER - Set 2 (Reverse)</v>
      </c>
      <c r="C18" s="10" t="str">
        <f>'[2]Drawing Summary'!D19</f>
        <v>6B</v>
      </c>
      <c r="D18" s="9" t="str">
        <f>'[2]Drawing Summary'!E19</f>
        <v>Countertop</v>
      </c>
      <c r="E18" s="8">
        <f>'[2]Drawing Summary'!R19</f>
        <v>8.1362847222222214</v>
      </c>
      <c r="F18" s="7">
        <f>'[2]Drawing Summary'!O19</f>
        <v>50</v>
      </c>
      <c r="G18" s="6">
        <f>E18*[1]Variables!$D$12</f>
        <v>28.476996527777775</v>
      </c>
      <c r="H18" s="6">
        <f>'[2]Drawing Summary'!P19*[1]Variables!$D$13</f>
        <v>3.5625</v>
      </c>
      <c r="I18" s="6">
        <f>'[2]Drawing Summary'!Q19*[1]Variables!$D$14</f>
        <v>2.375</v>
      </c>
      <c r="J18" s="6">
        <f>'[2]Drawing Summary'!K19*[1]Variables!$D$15</f>
        <v>0</v>
      </c>
      <c r="K18" s="6">
        <f>'[2]Drawing Summary'!L19*[1]Variables!$D$16</f>
        <v>0</v>
      </c>
      <c r="L18" s="6">
        <f>'[2]Drawing Summary'!M19*[1]Variables!$D$17</f>
        <v>0</v>
      </c>
      <c r="M18" s="6">
        <f>'[2]Drawing Summary'!N19*[1]Variables!$D$18</f>
        <v>0</v>
      </c>
      <c r="N18" s="6">
        <f>E18*[1]Variables!$D$19</f>
        <v>3.2465350499143497</v>
      </c>
      <c r="O18" s="6">
        <f>SUM(G18:N18)</f>
        <v>37.661031577692121</v>
      </c>
      <c r="P18" s="6">
        <f>O18*F18</f>
        <v>1883.051578884606</v>
      </c>
    </row>
    <row r="19" spans="1:16" x14ac:dyDescent="0.25">
      <c r="A19" s="10">
        <f>'[2]Drawing Summary'!A20</f>
        <v>8</v>
      </c>
      <c r="B19" s="9" t="str">
        <f>'[2]Drawing Summary'!B20</f>
        <v>BONDS/MAYS/AARON/DIMAGGIO/GEHRIG/WANGER - Set 2 (Reverse)</v>
      </c>
      <c r="C19" s="10" t="str">
        <f>'[2]Drawing Summary'!D20</f>
        <v>7</v>
      </c>
      <c r="D19" s="9" t="str">
        <f>'[2]Drawing Summary'!E20</f>
        <v>MB Vanity Top</v>
      </c>
      <c r="E19" s="8">
        <f>'[2]Drawing Summary'!R20</f>
        <v>8.0177951388888893</v>
      </c>
      <c r="F19" s="7">
        <f>'[2]Drawing Summary'!O20</f>
        <v>50</v>
      </c>
      <c r="G19" s="6">
        <f>E19*[1]Variables!$D$12</f>
        <v>28.062282986111114</v>
      </c>
      <c r="H19" s="6">
        <f>'[2]Drawing Summary'!P20*[1]Variables!$D$13</f>
        <v>3.6749999999999998</v>
      </c>
      <c r="I19" s="6">
        <f>'[2]Drawing Summary'!Q20*[1]Variables!$D$14</f>
        <v>2.4500000000000002</v>
      </c>
      <c r="J19" s="6">
        <f>'[2]Drawing Summary'!K20*[1]Variables!$D$15</f>
        <v>4</v>
      </c>
      <c r="K19" s="6">
        <f>'[2]Drawing Summary'!L20*[1]Variables!$D$16</f>
        <v>0</v>
      </c>
      <c r="L19" s="6">
        <f>'[2]Drawing Summary'!M20*[1]Variables!$D$17</f>
        <v>0</v>
      </c>
      <c r="M19" s="6">
        <f>'[2]Drawing Summary'!N20*[1]Variables!$D$18</f>
        <v>0</v>
      </c>
      <c r="N19" s="6">
        <f>E19*[1]Variables!$D$19</f>
        <v>3.1992554132651123</v>
      </c>
      <c r="O19" s="6">
        <f>SUM(G19:N19)</f>
        <v>41.386538399376228</v>
      </c>
      <c r="P19" s="6">
        <f>O19*F19</f>
        <v>2069.3269199688116</v>
      </c>
    </row>
    <row r="20" spans="1:16" x14ac:dyDescent="0.25">
      <c r="A20" s="15">
        <f>'[2]Drawing Summary'!A21</f>
        <v>9</v>
      </c>
      <c r="B20" s="14" t="str">
        <f>'[2]Drawing Summary'!B21</f>
        <v>BONDS/MAYS/AARON/DIMAGGIO/GEHRIG/WANGER - Set 3 (No Sink)</v>
      </c>
      <c r="C20" s="15" t="str">
        <f>'[2]Drawing Summary'!D21</f>
        <v>8A</v>
      </c>
      <c r="D20" s="14" t="str">
        <f>'[2]Drawing Summary'!E21</f>
        <v>Main Run Top</v>
      </c>
      <c r="E20" s="13">
        <f>'[2]Drawing Summary'!R21</f>
        <v>29.493055555555557</v>
      </c>
      <c r="F20" s="12">
        <f>'[2]Drawing Summary'!O21</f>
        <v>105</v>
      </c>
      <c r="G20" s="11">
        <f>E20*[1]Variables!$D$12</f>
        <v>103.22569444444446</v>
      </c>
      <c r="H20" s="11">
        <f>'[2]Drawing Summary'!P21*[1]Variables!$D$13</f>
        <v>7.9124999999999996</v>
      </c>
      <c r="I20" s="11">
        <f>'[2]Drawing Summary'!Q21*[1]Variables!$D$14</f>
        <v>5.2750000000000004</v>
      </c>
      <c r="J20" s="11">
        <f>'[2]Drawing Summary'!K21*[1]Variables!$D$15</f>
        <v>0</v>
      </c>
      <c r="K20" s="11">
        <f>'[2]Drawing Summary'!L21*[1]Variables!$D$16</f>
        <v>0</v>
      </c>
      <c r="L20" s="11">
        <f>'[2]Drawing Summary'!M21*[1]Variables!$D$17</f>
        <v>0</v>
      </c>
      <c r="M20" s="11">
        <f>'[2]Drawing Summary'!N21*[1]Variables!$D$18</f>
        <v>0</v>
      </c>
      <c r="N20" s="11">
        <f>E20*[1]Variables!$D$19</f>
        <v>11.768299888604499</v>
      </c>
      <c r="O20" s="11">
        <f>SUM(G20:N20)</f>
        <v>128.18149433304896</v>
      </c>
      <c r="P20" s="11">
        <f>O20*F20</f>
        <v>13459.056904970141</v>
      </c>
    </row>
    <row r="21" spans="1:16" x14ac:dyDescent="0.25">
      <c r="A21" s="15">
        <f>'[2]Drawing Summary'!A22</f>
        <v>9</v>
      </c>
      <c r="B21" s="14" t="str">
        <f>'[2]Drawing Summary'!B22</f>
        <v>BONDS/MAYS/AARON/DIMAGGIO/GEHRIG/WANGER - Set 3 (No Sink)</v>
      </c>
      <c r="C21" s="15" t="str">
        <f>'[2]Drawing Summary'!D22</f>
        <v>8B</v>
      </c>
      <c r="D21" s="14" t="str">
        <f>'[2]Drawing Summary'!E22</f>
        <v>Return Top</v>
      </c>
      <c r="E21" s="13">
        <f>'[2]Drawing Summary'!R22</f>
        <v>2.9952256944444446</v>
      </c>
      <c r="F21" s="12">
        <f>'[2]Drawing Summary'!O22</f>
        <v>100</v>
      </c>
      <c r="G21" s="11">
        <f>E21*[1]Variables!$D$12</f>
        <v>10.483289930555557</v>
      </c>
      <c r="H21" s="11">
        <f>'[2]Drawing Summary'!P22*[1]Variables!$D$13</f>
        <v>2.125</v>
      </c>
      <c r="I21" s="11">
        <f>'[2]Drawing Summary'!Q22*[1]Variables!$D$14</f>
        <v>1.4166666666666667</v>
      </c>
      <c r="J21" s="11">
        <f>'[2]Drawing Summary'!K22*[1]Variables!$D$15</f>
        <v>0</v>
      </c>
      <c r="K21" s="11">
        <f>'[2]Drawing Summary'!L22*[1]Variables!$D$16</f>
        <v>0</v>
      </c>
      <c r="L21" s="11">
        <f>'[2]Drawing Summary'!M22*[1]Variables!$D$17</f>
        <v>0</v>
      </c>
      <c r="M21" s="11">
        <f>'[2]Drawing Summary'!N22*[1]Variables!$D$18</f>
        <v>0</v>
      </c>
      <c r="N21" s="11">
        <f>E21*[1]Variables!$D$19</f>
        <v>1.1951530128805574</v>
      </c>
      <c r="O21" s="11">
        <f>SUM(G21:N21)</f>
        <v>15.220109610102782</v>
      </c>
      <c r="P21" s="11">
        <f>O21*F21</f>
        <v>1522.0109610102782</v>
      </c>
    </row>
    <row r="22" spans="1:16" x14ac:dyDescent="0.25">
      <c r="A22" s="15">
        <f>'[2]Drawing Summary'!A23</f>
        <v>9</v>
      </c>
      <c r="B22" s="14" t="str">
        <f>'[2]Drawing Summary'!B23</f>
        <v>BONDS/MAYS/AARON/DIMAGGIO/GEHRIG/WANGER - Set 3 (No Sink)</v>
      </c>
      <c r="C22" s="15" t="str">
        <f>'[2]Drawing Summary'!D23</f>
        <v>9A</v>
      </c>
      <c r="D22" s="14" t="str">
        <f>'[2]Drawing Summary'!E23</f>
        <v>Return Top</v>
      </c>
      <c r="E22" s="13">
        <f>'[2]Drawing Summary'!R23</f>
        <v>3.1740451388888888</v>
      </c>
      <c r="F22" s="12">
        <f>'[2]Drawing Summary'!O23</f>
        <v>100</v>
      </c>
      <c r="G22" s="11">
        <f>E22*[1]Variables!$D$12</f>
        <v>11.109157986111111</v>
      </c>
      <c r="H22" s="11">
        <f>'[2]Drawing Summary'!P23*[1]Variables!$D$13</f>
        <v>2.1749999999999998</v>
      </c>
      <c r="I22" s="11">
        <f>'[2]Drawing Summary'!Q23*[1]Variables!$D$14</f>
        <v>1.4500000000000002</v>
      </c>
      <c r="J22" s="11">
        <f>'[2]Drawing Summary'!K23*[1]Variables!$D$15</f>
        <v>0</v>
      </c>
      <c r="K22" s="11">
        <f>'[2]Drawing Summary'!L23*[1]Variables!$D$16</f>
        <v>0</v>
      </c>
      <c r="L22" s="11">
        <f>'[2]Drawing Summary'!M23*[1]Variables!$D$17</f>
        <v>0</v>
      </c>
      <c r="M22" s="11">
        <f>'[2]Drawing Summary'!N23*[1]Variables!$D$18</f>
        <v>0</v>
      </c>
      <c r="N22" s="11">
        <f>E22*[1]Variables!$D$19</f>
        <v>1.2665054315599937</v>
      </c>
      <c r="O22" s="11">
        <f>SUM(G22:N22)</f>
        <v>16.000663417671106</v>
      </c>
      <c r="P22" s="11">
        <f>O22*F22</f>
        <v>1600.0663417671105</v>
      </c>
    </row>
    <row r="23" spans="1:16" x14ac:dyDescent="0.25">
      <c r="A23" s="15">
        <f>'[2]Drawing Summary'!A24</f>
        <v>9</v>
      </c>
      <c r="B23" s="14" t="str">
        <f>'[2]Drawing Summary'!B24</f>
        <v>BONDS/MAYS/AARON/DIMAGGIO/GEHRIG/WANGER - Set 3 (No Sink)</v>
      </c>
      <c r="C23" s="15" t="str">
        <f>'[2]Drawing Summary'!D24</f>
        <v>9B</v>
      </c>
      <c r="D23" s="14" t="str">
        <f>'[2]Drawing Summary'!E24</f>
        <v>Countertop</v>
      </c>
      <c r="E23" s="13">
        <f>'[2]Drawing Summary'!R24</f>
        <v>8.1362847222222214</v>
      </c>
      <c r="F23" s="12">
        <f>'[2]Drawing Summary'!O24</f>
        <v>100</v>
      </c>
      <c r="G23" s="11">
        <f>E23*[1]Variables!$D$12</f>
        <v>28.476996527777775</v>
      </c>
      <c r="H23" s="11">
        <f>'[2]Drawing Summary'!P24*[1]Variables!$D$13</f>
        <v>3.5625</v>
      </c>
      <c r="I23" s="11">
        <f>'[2]Drawing Summary'!Q24*[1]Variables!$D$14</f>
        <v>2.375</v>
      </c>
      <c r="J23" s="11">
        <f>'[2]Drawing Summary'!K24*[1]Variables!$D$15</f>
        <v>0</v>
      </c>
      <c r="K23" s="11">
        <f>'[2]Drawing Summary'!L24*[1]Variables!$D$16</f>
        <v>0</v>
      </c>
      <c r="L23" s="11">
        <f>'[2]Drawing Summary'!M24*[1]Variables!$D$17</f>
        <v>0</v>
      </c>
      <c r="M23" s="11">
        <f>'[2]Drawing Summary'!N24*[1]Variables!$D$18</f>
        <v>0</v>
      </c>
      <c r="N23" s="11">
        <f>E23*[1]Variables!$D$19</f>
        <v>3.2465350499143497</v>
      </c>
      <c r="O23" s="11">
        <f>SUM(G23:N23)</f>
        <v>37.661031577692121</v>
      </c>
      <c r="P23" s="11">
        <f>O23*F23</f>
        <v>3766.103157769212</v>
      </c>
    </row>
    <row r="24" spans="1:16" x14ac:dyDescent="0.25">
      <c r="A24" s="15">
        <f>'[2]Drawing Summary'!A25</f>
        <v>10</v>
      </c>
      <c r="B24" s="14" t="str">
        <f>'[2]Drawing Summary'!B25</f>
        <v>BONDS/MAYS/AARON/DIMAGGIO/GEHRIG/WANGER - Set 3 (No Sink)</v>
      </c>
      <c r="C24" s="15" t="str">
        <f>'[2]Drawing Summary'!D25</f>
        <v>10</v>
      </c>
      <c r="D24" s="14" t="str">
        <f>'[2]Drawing Summary'!E25</f>
        <v>MB Vanity Top</v>
      </c>
      <c r="E24" s="13">
        <f>'[2]Drawing Summary'!R25</f>
        <v>8.0177951388888893</v>
      </c>
      <c r="F24" s="12">
        <f>'[2]Drawing Summary'!O25</f>
        <v>100</v>
      </c>
      <c r="G24" s="11">
        <f>E24*[1]Variables!$D$12</f>
        <v>28.062282986111114</v>
      </c>
      <c r="H24" s="11">
        <f>'[2]Drawing Summary'!P25*[1]Variables!$D$13</f>
        <v>3.6749999999999998</v>
      </c>
      <c r="I24" s="11">
        <f>'[2]Drawing Summary'!Q25*[1]Variables!$D$14</f>
        <v>2.4500000000000002</v>
      </c>
      <c r="J24" s="11">
        <f>'[2]Drawing Summary'!K25*[1]Variables!$D$15</f>
        <v>0</v>
      </c>
      <c r="K24" s="11">
        <f>'[2]Drawing Summary'!L25*[1]Variables!$D$16</f>
        <v>0</v>
      </c>
      <c r="L24" s="11">
        <f>'[2]Drawing Summary'!M25*[1]Variables!$D$17</f>
        <v>0</v>
      </c>
      <c r="M24" s="11">
        <f>'[2]Drawing Summary'!N25*[1]Variables!$D$18</f>
        <v>0</v>
      </c>
      <c r="N24" s="11">
        <f>E24*[1]Variables!$D$19</f>
        <v>3.1992554132651123</v>
      </c>
      <c r="O24" s="11">
        <f>SUM(G24:N24)</f>
        <v>37.386538399376228</v>
      </c>
      <c r="P24" s="11">
        <f>O24*F24</f>
        <v>3738.6538399376227</v>
      </c>
    </row>
    <row r="25" spans="1:16" x14ac:dyDescent="0.25">
      <c r="A25" s="10">
        <f>'[2]Drawing Summary'!A26</f>
        <v>6</v>
      </c>
      <c r="B25" s="9" t="str">
        <f>'[2]Drawing Summary'!B26</f>
        <v>BONDS/MAYS/AARON/DIMAGGIO/GEHRIG/WANGER - All Units (B2 Vanity)</v>
      </c>
      <c r="C25" s="10" t="str">
        <f>'[2]Drawing Summary'!D26</f>
        <v>4</v>
      </c>
      <c r="D25" s="9" t="str">
        <f>'[2]Drawing Summary'!E26</f>
        <v>B2 Vanity Top</v>
      </c>
      <c r="E25" s="8">
        <f>'[2]Drawing Summary'!R26</f>
        <v>6.1219618055555554</v>
      </c>
      <c r="F25" s="7">
        <f>'[2]Drawing Summary'!O26</f>
        <v>200</v>
      </c>
      <c r="G25" s="6">
        <f>E25*[1]Variables!$D$12</f>
        <v>21.426866319444443</v>
      </c>
      <c r="H25" s="6">
        <f>'[2]Drawing Summary'!P26*[1]Variables!$D$13</f>
        <v>3.0749999999999997</v>
      </c>
      <c r="I25" s="6">
        <f>'[2]Drawing Summary'!Q26*[1]Variables!$D$14</f>
        <v>2.0500000000000003</v>
      </c>
      <c r="J25" s="6">
        <f>'[2]Drawing Summary'!K26*[1]Variables!$D$15</f>
        <v>4</v>
      </c>
      <c r="K25" s="6">
        <f>'[2]Drawing Summary'!L26*[1]Variables!$D$16</f>
        <v>0</v>
      </c>
      <c r="L25" s="6">
        <f>'[2]Drawing Summary'!M26*[1]Variables!$D$17</f>
        <v>0</v>
      </c>
      <c r="M25" s="6">
        <f>'[2]Drawing Summary'!N26*[1]Variables!$D$18</f>
        <v>0</v>
      </c>
      <c r="N25" s="6">
        <f>E25*[1]Variables!$D$19</f>
        <v>2.4427812268773024</v>
      </c>
      <c r="O25" s="6">
        <f>SUM(G25:N25)</f>
        <v>32.994647546321744</v>
      </c>
      <c r="P25" s="6">
        <f>O25*F25</f>
        <v>6598.9295092643488</v>
      </c>
    </row>
    <row r="26" spans="1:16" x14ac:dyDescent="0.25">
      <c r="A26" s="4"/>
      <c r="B26" s="5" t="s">
        <v>1</v>
      </c>
      <c r="C26" s="4"/>
      <c r="D26" s="4"/>
      <c r="E26" s="4"/>
      <c r="F26" s="3">
        <f>SUM(F4:F25)</f>
        <v>1531</v>
      </c>
      <c r="G26" s="1">
        <f>SUMPRODUCT(G4:G25,$F$4:$F$25)</f>
        <v>55398.975260416657</v>
      </c>
      <c r="H26" s="1">
        <f>SUMPRODUCT(H4:H25,$F$4:$F$25)</f>
        <v>5999.3374999999996</v>
      </c>
      <c r="I26" s="1">
        <f>SUMPRODUCT(I4:I25,$F$4:$F$25)</f>
        <v>4243.3583333333336</v>
      </c>
      <c r="J26" s="1">
        <f>SUMPRODUCT(J4:J25,$F$4:$F$25)</f>
        <v>2556</v>
      </c>
      <c r="K26" s="1">
        <f>SUMPRODUCT(K4:K25,$F$4:$F$25)</f>
        <v>0</v>
      </c>
      <c r="L26" s="1">
        <f>SUMPRODUCT(L4:L25,$F$4:$F$25)</f>
        <v>0</v>
      </c>
      <c r="M26" s="1">
        <f>SUMPRODUCT(M4:M25,$F$4:$F$25)</f>
        <v>0</v>
      </c>
      <c r="N26" s="1">
        <f>SUMPRODUCT(N4:N25,$F$4:$F$25)</f>
        <v>6315.7894736842072</v>
      </c>
      <c r="O26" s="2" t="s">
        <v>0</v>
      </c>
      <c r="P26" s="1">
        <f>SUM(P4:P25)</f>
        <v>74513.460567434217</v>
      </c>
    </row>
  </sheetData>
  <mergeCells count="2">
    <mergeCell ref="A1:XFD1"/>
    <mergeCell ref="A2:XF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2026-10-15T12:12:13Z</dcterms:created>
  <dcterms:modified xsi:type="dcterms:W3CDTF">2026-10-15T12:12:57Z</dcterms:modified>
</cp:coreProperties>
</file>