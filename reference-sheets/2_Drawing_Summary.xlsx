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A8EF427-5088-4E3F-850F-0E09E46515A8}" xr6:coauthVersionLast="47" xr6:coauthVersionMax="47" xr10:uidLastSave="{00000000-0000-0000-0000-000000000000}"/>
  <bookViews>
    <workbookView xWindow="-120" yWindow="-120" windowWidth="29040" windowHeight="15720" xr2:uid="{00DBE208-FE08-4640-85C0-9BB82DE068DC}"/>
  </bookViews>
  <sheets>
    <sheet name="Drawing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Q5" i="1"/>
  <c r="R5" i="1"/>
  <c r="S5" i="1"/>
  <c r="T5" i="1"/>
  <c r="P6" i="1"/>
  <c r="Q6" i="1"/>
  <c r="R6" i="1"/>
  <c r="S6" i="1"/>
  <c r="S27" i="1" s="1"/>
  <c r="T6" i="1"/>
  <c r="P7" i="1"/>
  <c r="Q7" i="1"/>
  <c r="R7" i="1"/>
  <c r="S7" i="1"/>
  <c r="T7" i="1"/>
  <c r="P8" i="1"/>
  <c r="Q8" i="1"/>
  <c r="R8" i="1"/>
  <c r="S8" i="1"/>
  <c r="T8" i="1"/>
  <c r="P9" i="1"/>
  <c r="Q9" i="1"/>
  <c r="R9" i="1"/>
  <c r="T9" i="1" s="1"/>
  <c r="S9" i="1"/>
  <c r="P10" i="1"/>
  <c r="Q10" i="1"/>
  <c r="R10" i="1"/>
  <c r="S10" i="1"/>
  <c r="T10" i="1"/>
  <c r="P11" i="1"/>
  <c r="Q11" i="1"/>
  <c r="R11" i="1"/>
  <c r="S11" i="1"/>
  <c r="P12" i="1"/>
  <c r="Q12" i="1"/>
  <c r="R12" i="1"/>
  <c r="S12" i="1"/>
  <c r="T12" i="1"/>
  <c r="P13" i="1"/>
  <c r="Q13" i="1"/>
  <c r="R13" i="1"/>
  <c r="S13" i="1"/>
  <c r="T13" i="1"/>
  <c r="P14" i="1"/>
  <c r="Q14" i="1"/>
  <c r="R14" i="1"/>
  <c r="T14" i="1" s="1"/>
  <c r="S14" i="1"/>
  <c r="P15" i="1"/>
  <c r="Q15" i="1"/>
  <c r="R15" i="1"/>
  <c r="S15" i="1"/>
  <c r="T15" i="1"/>
  <c r="P16" i="1"/>
  <c r="Q16" i="1"/>
  <c r="R16" i="1"/>
  <c r="S16" i="1"/>
  <c r="P17" i="1"/>
  <c r="Q17" i="1"/>
  <c r="R17" i="1"/>
  <c r="S17" i="1"/>
  <c r="T17" i="1"/>
  <c r="P18" i="1"/>
  <c r="Q18" i="1"/>
  <c r="R18" i="1"/>
  <c r="S18" i="1"/>
  <c r="T18" i="1"/>
  <c r="P19" i="1"/>
  <c r="Q19" i="1"/>
  <c r="R19" i="1"/>
  <c r="S19" i="1"/>
  <c r="T19" i="1"/>
  <c r="P20" i="1"/>
  <c r="Q20" i="1"/>
  <c r="R20" i="1"/>
  <c r="S20" i="1"/>
  <c r="T20" i="1"/>
  <c r="P21" i="1"/>
  <c r="Q21" i="1"/>
  <c r="R21" i="1"/>
  <c r="T21" i="1" s="1"/>
  <c r="S21" i="1"/>
  <c r="P22" i="1"/>
  <c r="Q22" i="1"/>
  <c r="R22" i="1"/>
  <c r="S22" i="1"/>
  <c r="T22" i="1"/>
  <c r="P23" i="1"/>
  <c r="Q23" i="1"/>
  <c r="R23" i="1"/>
  <c r="S23" i="1"/>
  <c r="P24" i="1"/>
  <c r="Q24" i="1"/>
  <c r="R24" i="1"/>
  <c r="S24" i="1"/>
  <c r="T24" i="1"/>
  <c r="P25" i="1"/>
  <c r="Q25" i="1"/>
  <c r="R25" i="1"/>
  <c r="S25" i="1"/>
  <c r="T25" i="1"/>
  <c r="P26" i="1"/>
  <c r="Q26" i="1"/>
  <c r="R26" i="1"/>
  <c r="T26" i="1" s="1"/>
  <c r="S26" i="1"/>
  <c r="K27" i="1"/>
  <c r="T16" i="1" l="1"/>
  <c r="T23" i="1"/>
  <c r="T11" i="1"/>
  <c r="T27" i="1" s="1"/>
</calcChain>
</file>

<file path=xl/sharedStrings.xml><?xml version="1.0" encoding="utf-8"?>
<sst xmlns="http://schemas.openxmlformats.org/spreadsheetml/2006/main" count="195" uniqueCount="82">
  <si>
    <t>TOTAL</t>
  </si>
  <si>
    <t>Covers all 200 units of plan group (50+50+100)</t>
  </si>
  <si>
    <t>ASI-C6</t>
  </si>
  <si>
    <t>TBD</t>
  </si>
  <si>
    <t>1.5cm</t>
  </si>
  <si>
    <t>B2 Vanity Top</t>
  </si>
  <si>
    <t>4</t>
  </si>
  <si>
    <t>B2 Vanity</t>
  </si>
  <si>
    <t>BONDS/MAYS/AARON/DIMAGGIO/GEHRIG/WANGER - All Units (B2 Vanity)</t>
  </si>
  <si>
    <t>No sink cutout (confirmed by BOM rev 1)</t>
  </si>
  <si>
    <t>-</t>
  </si>
  <si>
    <t>MB Vanity Top</t>
  </si>
  <si>
    <t>10</t>
  </si>
  <si>
    <t>MB Vanity</t>
  </si>
  <si>
    <t>BONDS/MAYS/AARON/DIMAGGIO/GEHRIG/WANGER - Set 3 (No Sink)</t>
  </si>
  <si>
    <t>Joined to 9A at seam</t>
  </si>
  <si>
    <t>Countertop</t>
  </si>
  <si>
    <t>9B</t>
  </si>
  <si>
    <t>Kitchen</t>
  </si>
  <si>
    <t>'No Polish' edge; joined to 9B</t>
  </si>
  <si>
    <t>Return Top</t>
  </si>
  <si>
    <t>9A</t>
  </si>
  <si>
    <t>'No Polish' edge; joined to 8A</t>
  </si>
  <si>
    <t>8B</t>
  </si>
  <si>
    <t>Qty 105 per LENNAR BOM rev 1 (100 + 5 spares). No sink (confirmed); 'No Polish' front section; joined to 8B</t>
  </si>
  <si>
    <t>Main Run Top</t>
  </si>
  <si>
    <t>8A</t>
  </si>
  <si>
    <t>Mirror of Dwg 5</t>
  </si>
  <si>
    <t>7</t>
  </si>
  <si>
    <t>BONDS/MAYS/AARON/DIMAGGIO/GEHRIG/WANGER - Set 2 (Reverse)</t>
  </si>
  <si>
    <t>Joined to 6A at seam</t>
  </si>
  <si>
    <t>6B</t>
  </si>
  <si>
    <t>Joined to 6B at seam</t>
  </si>
  <si>
    <t>6A</t>
  </si>
  <si>
    <t>Joined to 5A at seam</t>
  </si>
  <si>
    <t>5B</t>
  </si>
  <si>
    <t>Qty 50 (Ver5 change: was 53 per BOM rev 1 - no spares). Mirror of Dwg 4; joined to 5B</t>
  </si>
  <si>
    <t>ASI-2003</t>
  </si>
  <si>
    <t>Main Run Top (w/ 1-5/8" back strip)</t>
  </si>
  <si>
    <t>5A</t>
  </si>
  <si>
    <t>3</t>
  </si>
  <si>
    <t>BONDS/MAYS/AARON/DIMAGGIO/GEHRIG/WANGER - Set 1 (As Shown)</t>
  </si>
  <si>
    <t>Joined to 2A at seam</t>
  </si>
  <si>
    <t>2B</t>
  </si>
  <si>
    <t>Joined to 2B at seam</t>
  </si>
  <si>
    <t>2A</t>
  </si>
  <si>
    <t>Joined to 1A at seam</t>
  </si>
  <si>
    <t>1B</t>
  </si>
  <si>
    <t>Qty 53 per LENNAR BOM rev 1 (50 + 3 spares). Joined to 1B; BOM calls it Kitchen Island</t>
  </si>
  <si>
    <t>1A</t>
  </si>
  <si>
    <t>6</t>
  </si>
  <si>
    <t>BERGA/CORNWALL/RIO/ARUB</t>
  </si>
  <si>
    <t>Qty 66 confirmed by LENNAR BOM rev 1</t>
  </si>
  <si>
    <t>MB Vanity Top (double sink)</t>
  </si>
  <si>
    <t>5</t>
  </si>
  <si>
    <t>2</t>
  </si>
  <si>
    <t>Qty 53 per LENNAR BOM rev 1 (51 + 2 spares). 12" internal detail line - confirm</t>
  </si>
  <si>
    <t>Island Top</t>
  </si>
  <si>
    <t>1</t>
  </si>
  <si>
    <t>Notes</t>
  </si>
  <si>
    <t>Total Sqft</t>
  </si>
  <si>
    <t>Total Pcs</t>
  </si>
  <si>
    <t>Sqft/Pc</t>
  </si>
  <si>
    <t>DE&amp;P LF</t>
  </si>
  <si>
    <t>Cutting LF</t>
  </si>
  <si>
    <t>Units Qty</t>
  </si>
  <si>
    <t>Joints</t>
  </si>
  <si>
    <t>R-Corners</t>
  </si>
  <si>
    <t>Faucet Holes</t>
  </si>
  <si>
    <t>Sink Cuts</t>
  </si>
  <si>
    <t>Sink Model</t>
  </si>
  <si>
    <t>Color</t>
  </si>
  <si>
    <t>Thickness</t>
  </si>
  <si>
    <t>W (in)</t>
  </si>
  <si>
    <t>L (in)</t>
  </si>
  <si>
    <t>Description</t>
  </si>
  <si>
    <t>Piece</t>
  </si>
  <si>
    <t>Area</t>
  </si>
  <si>
    <t>Group</t>
  </si>
  <si>
    <t>Dwg#</t>
  </si>
  <si>
    <t>Source: Allied Stone shop drawings Rev #0 (09/26/2026) | Cutting LF = 2(L+W)/12 | DE&amp;P LF: Kitchen Island Top = full perimeter 2(L+W)/12, all other pieces = one L + one W edge (L+W)/12</t>
  </si>
  <si>
    <t>Lennar NWA Brighton Park - Drawing Summary (Full Scope)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</si>
</sst>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9"/>
      <name val="Arial"/>
      <charset val="1"/>
    </font>
    <font>
      <i/>
      <sz val="8"/>
      <color rgb="FF9C5700"/>
      <name val="Arial"/>
      <charset val="1"/>
    </font>
    <font>
      <b/>
      <sz val="10"/>
      <color rgb="FFFFFFFF"/>
      <name val="Arial"/>
      <charset val="1"/>
    </font>
    <font>
      <i/>
      <sz val="9"/>
      <color rgb="FF555555"/>
      <name val="Arial"/>
      <charset val="1"/>
    </font>
    <font>
      <b/>
      <sz val="13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DEEAF1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" fontId="1" fillId="5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B9AB-9E44-4224-96F5-9F9F21F119DA}">
  <dimension ref="A1:U27"/>
  <sheetViews>
    <sheetView showGridLines="0" tabSelected="1" zoomScaleNormal="100" workbookViewId="0">
      <pane ySplit="4" topLeftCell="A5" activePane="bottomLeft" state="frozen"/>
      <selection pane="bottomLeft" sqref="A1:XFD1"/>
    </sheetView>
  </sheetViews>
  <sheetFormatPr defaultColWidth="8.7109375" defaultRowHeight="15" x14ac:dyDescent="0.25"/>
  <cols>
    <col min="1" max="1" width="6" bestFit="1" customWidth="1"/>
    <col min="2" max="2" width="60.42578125" bestFit="1" customWidth="1"/>
    <col min="3" max="3" width="8.42578125" bestFit="1" customWidth="1"/>
    <col min="4" max="4" width="6.140625" bestFit="1" customWidth="1"/>
    <col min="5" max="5" width="28.7109375" bestFit="1" customWidth="1"/>
    <col min="6" max="6" width="7.42578125" bestFit="1" customWidth="1"/>
    <col min="7" max="7" width="6.42578125" bestFit="1" customWidth="1"/>
    <col min="8" max="8" width="9.85546875" bestFit="1" customWidth="1"/>
    <col min="9" max="9" width="5.85546875" bestFit="1" customWidth="1"/>
    <col min="10" max="10" width="11.140625" bestFit="1" customWidth="1"/>
    <col min="11" max="11" width="9.42578125" bestFit="1" customWidth="1"/>
    <col min="12" max="12" width="12.7109375" bestFit="1" customWidth="1"/>
    <col min="13" max="13" width="9.85546875" bestFit="1" customWidth="1"/>
    <col min="14" max="14" width="6.28515625" bestFit="1" customWidth="1"/>
    <col min="15" max="15" width="9" bestFit="1" customWidth="1"/>
    <col min="16" max="16" width="10.28515625" bestFit="1" customWidth="1"/>
    <col min="17" max="17" width="8.85546875" bestFit="1" customWidth="1"/>
    <col min="18" max="18" width="7.42578125" bestFit="1" customWidth="1"/>
    <col min="19" max="19" width="9.28515625" bestFit="1" customWidth="1"/>
    <col min="20" max="20" width="9.7109375" bestFit="1" customWidth="1"/>
    <col min="21" max="21" width="80.140625" bestFit="1" customWidth="1"/>
  </cols>
  <sheetData>
    <row r="1" spans="1:21" s="28" customFormat="1" ht="16.5" x14ac:dyDescent="0.25">
      <c r="A1" s="28" t="s">
        <v>81</v>
      </c>
    </row>
    <row r="2" spans="1:21" s="27" customFormat="1" ht="15" customHeight="1" x14ac:dyDescent="0.25">
      <c r="A2" s="27" t="s">
        <v>80</v>
      </c>
    </row>
    <row r="4" spans="1:21" x14ac:dyDescent="0.25">
      <c r="A4" s="26" t="s">
        <v>79</v>
      </c>
      <c r="B4" s="26" t="s">
        <v>78</v>
      </c>
      <c r="C4" s="26" t="s">
        <v>77</v>
      </c>
      <c r="D4" s="26" t="s">
        <v>76</v>
      </c>
      <c r="E4" s="26" t="s">
        <v>75</v>
      </c>
      <c r="F4" s="26" t="s">
        <v>74</v>
      </c>
      <c r="G4" s="26" t="s">
        <v>73</v>
      </c>
      <c r="H4" s="26" t="s">
        <v>72</v>
      </c>
      <c r="I4" s="26" t="s">
        <v>71</v>
      </c>
      <c r="J4" s="26" t="s">
        <v>70</v>
      </c>
      <c r="K4" s="26" t="s">
        <v>69</v>
      </c>
      <c r="L4" s="26" t="s">
        <v>68</v>
      </c>
      <c r="M4" s="26" t="s">
        <v>67</v>
      </c>
      <c r="N4" s="26" t="s">
        <v>66</v>
      </c>
      <c r="O4" s="26" t="s">
        <v>65</v>
      </c>
      <c r="P4" s="26" t="s">
        <v>64</v>
      </c>
      <c r="Q4" s="26" t="s">
        <v>63</v>
      </c>
      <c r="R4" s="26" t="s">
        <v>62</v>
      </c>
      <c r="S4" s="26" t="s">
        <v>61</v>
      </c>
      <c r="T4" s="26" t="s">
        <v>60</v>
      </c>
      <c r="U4" s="26" t="s">
        <v>59</v>
      </c>
    </row>
    <row r="5" spans="1:21" x14ac:dyDescent="0.25">
      <c r="A5" s="24">
        <v>1</v>
      </c>
      <c r="B5" s="25" t="s">
        <v>51</v>
      </c>
      <c r="C5" s="25" t="s">
        <v>18</v>
      </c>
      <c r="D5" s="24" t="s">
        <v>58</v>
      </c>
      <c r="E5" s="25" t="s">
        <v>57</v>
      </c>
      <c r="F5" s="23">
        <v>93.25</v>
      </c>
      <c r="G5" s="23">
        <v>44.75</v>
      </c>
      <c r="H5" s="24" t="s">
        <v>4</v>
      </c>
      <c r="I5" s="24" t="s">
        <v>3</v>
      </c>
      <c r="J5" s="24" t="s">
        <v>37</v>
      </c>
      <c r="K5" s="24">
        <v>1</v>
      </c>
      <c r="L5" s="24">
        <v>0</v>
      </c>
      <c r="M5" s="24">
        <v>0</v>
      </c>
      <c r="N5" s="24">
        <v>0</v>
      </c>
      <c r="O5" s="24">
        <v>53</v>
      </c>
      <c r="P5" s="23">
        <f>2*(F5+G5)/12</f>
        <v>23</v>
      </c>
      <c r="Q5" s="23">
        <f>2*(F5+G5)/12</f>
        <v>23</v>
      </c>
      <c r="R5" s="22">
        <f>F5*G5/144</f>
        <v>28.978732638888889</v>
      </c>
      <c r="S5" s="21">
        <f>O5</f>
        <v>53</v>
      </c>
      <c r="T5" s="20">
        <f>R5*S5</f>
        <v>1535.8728298611111</v>
      </c>
      <c r="U5" s="19" t="s">
        <v>56</v>
      </c>
    </row>
    <row r="6" spans="1:21" x14ac:dyDescent="0.25">
      <c r="A6" s="10">
        <v>1</v>
      </c>
      <c r="B6" s="11" t="s">
        <v>51</v>
      </c>
      <c r="C6" s="11" t="s">
        <v>18</v>
      </c>
      <c r="D6" s="10" t="s">
        <v>55</v>
      </c>
      <c r="E6" s="11" t="s">
        <v>20</v>
      </c>
      <c r="F6" s="9">
        <v>34.75</v>
      </c>
      <c r="G6" s="9">
        <v>25.75</v>
      </c>
      <c r="H6" s="10" t="s">
        <v>4</v>
      </c>
      <c r="I6" s="10" t="s">
        <v>3</v>
      </c>
      <c r="J6" s="10" t="s">
        <v>10</v>
      </c>
      <c r="K6" s="10">
        <v>0</v>
      </c>
      <c r="L6" s="10">
        <v>0</v>
      </c>
      <c r="M6" s="10">
        <v>0</v>
      </c>
      <c r="N6" s="10">
        <v>0</v>
      </c>
      <c r="O6" s="10">
        <v>51</v>
      </c>
      <c r="P6" s="9">
        <f>2*(F6+G6)/12</f>
        <v>10.083333333333334</v>
      </c>
      <c r="Q6" s="9">
        <f>(F6+G6)/12</f>
        <v>5.041666666666667</v>
      </c>
      <c r="R6" s="8">
        <f>F6*G6/144</f>
        <v>6.2139756944444446</v>
      </c>
      <c r="S6" s="7">
        <f>O6</f>
        <v>51</v>
      </c>
      <c r="T6" s="6">
        <f>R6*S6</f>
        <v>316.91276041666669</v>
      </c>
      <c r="U6" s="5"/>
    </row>
    <row r="7" spans="1:21" x14ac:dyDescent="0.25">
      <c r="A7" s="10">
        <v>1</v>
      </c>
      <c r="B7" s="11" t="s">
        <v>51</v>
      </c>
      <c r="C7" s="11" t="s">
        <v>18</v>
      </c>
      <c r="D7" s="10" t="s">
        <v>40</v>
      </c>
      <c r="E7" s="11" t="s">
        <v>25</v>
      </c>
      <c r="F7" s="9">
        <v>67.5</v>
      </c>
      <c r="G7" s="9">
        <v>25.75</v>
      </c>
      <c r="H7" s="10" t="s">
        <v>4</v>
      </c>
      <c r="I7" s="10" t="s">
        <v>3</v>
      </c>
      <c r="J7" s="10" t="s">
        <v>10</v>
      </c>
      <c r="K7" s="10">
        <v>0</v>
      </c>
      <c r="L7" s="10">
        <v>0</v>
      </c>
      <c r="M7" s="10">
        <v>0</v>
      </c>
      <c r="N7" s="10">
        <v>0</v>
      </c>
      <c r="O7" s="10">
        <v>51</v>
      </c>
      <c r="P7" s="9">
        <f>2*(F7+G7)/12</f>
        <v>15.541666666666666</v>
      </c>
      <c r="Q7" s="9">
        <f>(F7+G7)/12</f>
        <v>7.770833333333333</v>
      </c>
      <c r="R7" s="8">
        <f>F7*G7/144</f>
        <v>12.0703125</v>
      </c>
      <c r="S7" s="7">
        <f>O7</f>
        <v>51</v>
      </c>
      <c r="T7" s="6">
        <f>R7*S7</f>
        <v>615.5859375</v>
      </c>
      <c r="U7" s="5"/>
    </row>
    <row r="8" spans="1:21" x14ac:dyDescent="0.25">
      <c r="A8" s="10">
        <v>1</v>
      </c>
      <c r="B8" s="11" t="s">
        <v>51</v>
      </c>
      <c r="C8" s="11" t="s">
        <v>18</v>
      </c>
      <c r="D8" s="10" t="s">
        <v>6</v>
      </c>
      <c r="E8" s="11" t="s">
        <v>16</v>
      </c>
      <c r="F8" s="9">
        <v>34.75</v>
      </c>
      <c r="G8" s="9">
        <v>25.75</v>
      </c>
      <c r="H8" s="10" t="s">
        <v>4</v>
      </c>
      <c r="I8" s="10" t="s">
        <v>3</v>
      </c>
      <c r="J8" s="10" t="s">
        <v>10</v>
      </c>
      <c r="K8" s="10">
        <v>0</v>
      </c>
      <c r="L8" s="10">
        <v>0</v>
      </c>
      <c r="M8" s="10">
        <v>0</v>
      </c>
      <c r="N8" s="10">
        <v>0</v>
      </c>
      <c r="O8" s="10">
        <v>51</v>
      </c>
      <c r="P8" s="9">
        <f>2*(F8+G8)/12</f>
        <v>10.083333333333334</v>
      </c>
      <c r="Q8" s="9">
        <f>(F8+G8)/12</f>
        <v>5.041666666666667</v>
      </c>
      <c r="R8" s="8">
        <f>F8*G8/144</f>
        <v>6.2139756944444446</v>
      </c>
      <c r="S8" s="7">
        <f>O8</f>
        <v>51</v>
      </c>
      <c r="T8" s="6">
        <f>R8*S8</f>
        <v>316.91276041666669</v>
      </c>
      <c r="U8" s="5"/>
    </row>
    <row r="9" spans="1:21" x14ac:dyDescent="0.25">
      <c r="A9" s="10">
        <v>2</v>
      </c>
      <c r="B9" s="11" t="s">
        <v>51</v>
      </c>
      <c r="C9" s="11" t="s">
        <v>13</v>
      </c>
      <c r="D9" s="10" t="s">
        <v>54</v>
      </c>
      <c r="E9" s="11" t="s">
        <v>53</v>
      </c>
      <c r="F9" s="9">
        <v>87</v>
      </c>
      <c r="G9" s="9">
        <v>22.75</v>
      </c>
      <c r="H9" s="10" t="s">
        <v>4</v>
      </c>
      <c r="I9" s="10" t="s">
        <v>3</v>
      </c>
      <c r="J9" s="10" t="s">
        <v>2</v>
      </c>
      <c r="K9" s="10">
        <v>2</v>
      </c>
      <c r="L9" s="10">
        <v>0</v>
      </c>
      <c r="M9" s="10">
        <v>0</v>
      </c>
      <c r="N9" s="10">
        <v>0</v>
      </c>
      <c r="O9" s="10">
        <v>66</v>
      </c>
      <c r="P9" s="9">
        <f>2*(F9+G9)/12</f>
        <v>18.291666666666668</v>
      </c>
      <c r="Q9" s="9">
        <f>(F9+G9)/12</f>
        <v>9.1458333333333339</v>
      </c>
      <c r="R9" s="8">
        <f>F9*G9/144</f>
        <v>13.744791666666666</v>
      </c>
      <c r="S9" s="7">
        <f>O9</f>
        <v>66</v>
      </c>
      <c r="T9" s="6">
        <f>R9*S9</f>
        <v>907.15625</v>
      </c>
      <c r="U9" s="5" t="s">
        <v>52</v>
      </c>
    </row>
    <row r="10" spans="1:21" x14ac:dyDescent="0.25">
      <c r="A10" s="10">
        <v>3</v>
      </c>
      <c r="B10" s="11" t="s">
        <v>51</v>
      </c>
      <c r="C10" s="11" t="s">
        <v>7</v>
      </c>
      <c r="D10" s="10" t="s">
        <v>50</v>
      </c>
      <c r="E10" s="11" t="s">
        <v>5</v>
      </c>
      <c r="F10" s="9">
        <v>38.75</v>
      </c>
      <c r="G10" s="9">
        <v>22.75</v>
      </c>
      <c r="H10" s="10" t="s">
        <v>4</v>
      </c>
      <c r="I10" s="10" t="s">
        <v>3</v>
      </c>
      <c r="J10" s="10" t="s">
        <v>2</v>
      </c>
      <c r="K10" s="10">
        <v>1</v>
      </c>
      <c r="L10" s="10">
        <v>0</v>
      </c>
      <c r="M10" s="10">
        <v>0</v>
      </c>
      <c r="N10" s="10">
        <v>0</v>
      </c>
      <c r="O10" s="10">
        <v>51</v>
      </c>
      <c r="P10" s="9">
        <f>2*(F10+G10)/12</f>
        <v>10.25</v>
      </c>
      <c r="Q10" s="9">
        <f>(F10+G10)/12</f>
        <v>5.125</v>
      </c>
      <c r="R10" s="8">
        <f>F10*G10/144</f>
        <v>6.1219618055555554</v>
      </c>
      <c r="S10" s="7">
        <f>O10</f>
        <v>51</v>
      </c>
      <c r="T10" s="6">
        <f>R10*S10</f>
        <v>312.22005208333331</v>
      </c>
      <c r="U10" s="5"/>
    </row>
    <row r="11" spans="1:21" x14ac:dyDescent="0.25">
      <c r="A11" s="24">
        <v>4</v>
      </c>
      <c r="B11" s="25" t="s">
        <v>41</v>
      </c>
      <c r="C11" s="25" t="s">
        <v>18</v>
      </c>
      <c r="D11" s="24" t="s">
        <v>49</v>
      </c>
      <c r="E11" s="25" t="s">
        <v>38</v>
      </c>
      <c r="F11" s="23">
        <v>124</v>
      </c>
      <c r="G11" s="23">
        <v>34.25</v>
      </c>
      <c r="H11" s="24" t="s">
        <v>4</v>
      </c>
      <c r="I11" s="24" t="s">
        <v>3</v>
      </c>
      <c r="J11" s="24" t="s">
        <v>37</v>
      </c>
      <c r="K11" s="24">
        <v>1</v>
      </c>
      <c r="L11" s="24">
        <v>0</v>
      </c>
      <c r="M11" s="24">
        <v>0</v>
      </c>
      <c r="N11" s="24">
        <v>1</v>
      </c>
      <c r="O11" s="24">
        <v>53</v>
      </c>
      <c r="P11" s="23">
        <f>2*(F11+G11)/12</f>
        <v>26.375</v>
      </c>
      <c r="Q11" s="23">
        <f>(F11+G11)/12</f>
        <v>13.1875</v>
      </c>
      <c r="R11" s="22">
        <f>F11*G11/144</f>
        <v>29.493055555555557</v>
      </c>
      <c r="S11" s="21">
        <f>O11</f>
        <v>53</v>
      </c>
      <c r="T11" s="20">
        <f>R11*S11</f>
        <v>1563.1319444444446</v>
      </c>
      <c r="U11" s="19" t="s">
        <v>48</v>
      </c>
    </row>
    <row r="12" spans="1:21" x14ac:dyDescent="0.25">
      <c r="A12" s="17">
        <v>4</v>
      </c>
      <c r="B12" s="18" t="s">
        <v>41</v>
      </c>
      <c r="C12" s="18" t="s">
        <v>18</v>
      </c>
      <c r="D12" s="17" t="s">
        <v>47</v>
      </c>
      <c r="E12" s="18" t="s">
        <v>20</v>
      </c>
      <c r="F12" s="16">
        <v>25.75</v>
      </c>
      <c r="G12" s="16">
        <v>16.75</v>
      </c>
      <c r="H12" s="17" t="s">
        <v>4</v>
      </c>
      <c r="I12" s="17" t="s">
        <v>3</v>
      </c>
      <c r="J12" s="17" t="s">
        <v>10</v>
      </c>
      <c r="K12" s="17">
        <v>0</v>
      </c>
      <c r="L12" s="17">
        <v>0</v>
      </c>
      <c r="M12" s="17">
        <v>0</v>
      </c>
      <c r="N12" s="17">
        <v>1</v>
      </c>
      <c r="O12" s="17">
        <v>50</v>
      </c>
      <c r="P12" s="16">
        <f>2*(F12+G12)/12</f>
        <v>7.083333333333333</v>
      </c>
      <c r="Q12" s="16">
        <f>(F12+G12)/12</f>
        <v>3.5416666666666665</v>
      </c>
      <c r="R12" s="15">
        <f>F12*G12/144</f>
        <v>2.9952256944444446</v>
      </c>
      <c r="S12" s="14">
        <f>O12</f>
        <v>50</v>
      </c>
      <c r="T12" s="13">
        <f>R12*S12</f>
        <v>149.76128472222223</v>
      </c>
      <c r="U12" s="12" t="s">
        <v>46</v>
      </c>
    </row>
    <row r="13" spans="1:21" x14ac:dyDescent="0.25">
      <c r="A13" s="17">
        <v>4</v>
      </c>
      <c r="B13" s="18" t="s">
        <v>41</v>
      </c>
      <c r="C13" s="18" t="s">
        <v>18</v>
      </c>
      <c r="D13" s="17" t="s">
        <v>45</v>
      </c>
      <c r="E13" s="18" t="s">
        <v>20</v>
      </c>
      <c r="F13" s="16">
        <v>25.75</v>
      </c>
      <c r="G13" s="16">
        <v>17.75</v>
      </c>
      <c r="H13" s="17" t="s">
        <v>4</v>
      </c>
      <c r="I13" s="17" t="s">
        <v>3</v>
      </c>
      <c r="J13" s="17" t="s">
        <v>10</v>
      </c>
      <c r="K13" s="17">
        <v>0</v>
      </c>
      <c r="L13" s="17">
        <v>0</v>
      </c>
      <c r="M13" s="17">
        <v>0</v>
      </c>
      <c r="N13" s="17">
        <v>1</v>
      </c>
      <c r="O13" s="17">
        <v>50</v>
      </c>
      <c r="P13" s="16">
        <f>2*(F13+G13)/12</f>
        <v>7.25</v>
      </c>
      <c r="Q13" s="16">
        <f>(F13+G13)/12</f>
        <v>3.625</v>
      </c>
      <c r="R13" s="15">
        <f>F13*G13/144</f>
        <v>3.1740451388888888</v>
      </c>
      <c r="S13" s="14">
        <f>O13</f>
        <v>50</v>
      </c>
      <c r="T13" s="13">
        <f>R13*S13</f>
        <v>158.70225694444443</v>
      </c>
      <c r="U13" s="12" t="s">
        <v>44</v>
      </c>
    </row>
    <row r="14" spans="1:21" x14ac:dyDescent="0.25">
      <c r="A14" s="17">
        <v>4</v>
      </c>
      <c r="B14" s="18" t="s">
        <v>41</v>
      </c>
      <c r="C14" s="18" t="s">
        <v>18</v>
      </c>
      <c r="D14" s="17" t="s">
        <v>43</v>
      </c>
      <c r="E14" s="18" t="s">
        <v>16</v>
      </c>
      <c r="F14" s="16">
        <v>45.5</v>
      </c>
      <c r="G14" s="16">
        <v>25.75</v>
      </c>
      <c r="H14" s="17" t="s">
        <v>4</v>
      </c>
      <c r="I14" s="17" t="s">
        <v>3</v>
      </c>
      <c r="J14" s="17" t="s">
        <v>10</v>
      </c>
      <c r="K14" s="17">
        <v>0</v>
      </c>
      <c r="L14" s="17">
        <v>0</v>
      </c>
      <c r="M14" s="17">
        <v>0</v>
      </c>
      <c r="N14" s="17">
        <v>1</v>
      </c>
      <c r="O14" s="17">
        <v>50</v>
      </c>
      <c r="P14" s="16">
        <f>2*(F14+G14)/12</f>
        <v>11.875</v>
      </c>
      <c r="Q14" s="16">
        <f>(F14+G14)/12</f>
        <v>5.9375</v>
      </c>
      <c r="R14" s="15">
        <f>F14*G14/144</f>
        <v>8.1362847222222214</v>
      </c>
      <c r="S14" s="14">
        <f>O14</f>
        <v>50</v>
      </c>
      <c r="T14" s="13">
        <f>R14*S14</f>
        <v>406.81423611111109</v>
      </c>
      <c r="U14" s="12" t="s">
        <v>42</v>
      </c>
    </row>
    <row r="15" spans="1:21" x14ac:dyDescent="0.25">
      <c r="A15" s="17">
        <v>5</v>
      </c>
      <c r="B15" s="18" t="s">
        <v>41</v>
      </c>
      <c r="C15" s="18" t="s">
        <v>13</v>
      </c>
      <c r="D15" s="17" t="s">
        <v>40</v>
      </c>
      <c r="E15" s="18" t="s">
        <v>11</v>
      </c>
      <c r="F15" s="16">
        <v>50.75</v>
      </c>
      <c r="G15" s="16">
        <v>22.75</v>
      </c>
      <c r="H15" s="17" t="s">
        <v>4</v>
      </c>
      <c r="I15" s="17" t="s">
        <v>3</v>
      </c>
      <c r="J15" s="17" t="s">
        <v>2</v>
      </c>
      <c r="K15" s="17">
        <v>1</v>
      </c>
      <c r="L15" s="17">
        <v>0</v>
      </c>
      <c r="M15" s="17">
        <v>0</v>
      </c>
      <c r="N15" s="17">
        <v>0</v>
      </c>
      <c r="O15" s="17">
        <v>50</v>
      </c>
      <c r="P15" s="16">
        <f>2*(F15+G15)/12</f>
        <v>12.25</v>
      </c>
      <c r="Q15" s="16">
        <f>(F15+G15)/12</f>
        <v>6.125</v>
      </c>
      <c r="R15" s="15">
        <f>F15*G15/144</f>
        <v>8.0177951388888893</v>
      </c>
      <c r="S15" s="14">
        <f>O15</f>
        <v>50</v>
      </c>
      <c r="T15" s="13">
        <f>R15*S15</f>
        <v>400.88975694444446</v>
      </c>
      <c r="U15" s="12"/>
    </row>
    <row r="16" spans="1:21" x14ac:dyDescent="0.25">
      <c r="A16" s="24">
        <v>7</v>
      </c>
      <c r="B16" s="25" t="s">
        <v>29</v>
      </c>
      <c r="C16" s="25" t="s">
        <v>18</v>
      </c>
      <c r="D16" s="24" t="s">
        <v>39</v>
      </c>
      <c r="E16" s="25" t="s">
        <v>38</v>
      </c>
      <c r="F16" s="23">
        <v>124</v>
      </c>
      <c r="G16" s="23">
        <v>34.25</v>
      </c>
      <c r="H16" s="24" t="s">
        <v>4</v>
      </c>
      <c r="I16" s="24" t="s">
        <v>3</v>
      </c>
      <c r="J16" s="24" t="s">
        <v>37</v>
      </c>
      <c r="K16" s="24">
        <v>1</v>
      </c>
      <c r="L16" s="24">
        <v>0</v>
      </c>
      <c r="M16" s="24">
        <v>0</v>
      </c>
      <c r="N16" s="24">
        <v>1</v>
      </c>
      <c r="O16" s="24">
        <v>50</v>
      </c>
      <c r="P16" s="23">
        <f>2*(F16+G16)/12</f>
        <v>26.375</v>
      </c>
      <c r="Q16" s="23">
        <f>(F16+G16)/12</f>
        <v>13.1875</v>
      </c>
      <c r="R16" s="22">
        <f>F16*G16/144</f>
        <v>29.493055555555557</v>
      </c>
      <c r="S16" s="21">
        <f>O16</f>
        <v>50</v>
      </c>
      <c r="T16" s="20">
        <f>R16*S16</f>
        <v>1474.6527777777778</v>
      </c>
      <c r="U16" s="19" t="s">
        <v>36</v>
      </c>
    </row>
    <row r="17" spans="1:21" x14ac:dyDescent="0.25">
      <c r="A17" s="10">
        <v>7</v>
      </c>
      <c r="B17" s="11" t="s">
        <v>29</v>
      </c>
      <c r="C17" s="11" t="s">
        <v>18</v>
      </c>
      <c r="D17" s="10" t="s">
        <v>35</v>
      </c>
      <c r="E17" s="11" t="s">
        <v>20</v>
      </c>
      <c r="F17" s="9">
        <v>25.75</v>
      </c>
      <c r="G17" s="9">
        <v>16.75</v>
      </c>
      <c r="H17" s="10" t="s">
        <v>4</v>
      </c>
      <c r="I17" s="10" t="s">
        <v>3</v>
      </c>
      <c r="J17" s="10" t="s">
        <v>10</v>
      </c>
      <c r="K17" s="10">
        <v>0</v>
      </c>
      <c r="L17" s="10">
        <v>0</v>
      </c>
      <c r="M17" s="10">
        <v>0</v>
      </c>
      <c r="N17" s="10">
        <v>1</v>
      </c>
      <c r="O17" s="10">
        <v>50</v>
      </c>
      <c r="P17" s="9">
        <f>2*(F17+G17)/12</f>
        <v>7.083333333333333</v>
      </c>
      <c r="Q17" s="9">
        <f>(F17+G17)/12</f>
        <v>3.5416666666666665</v>
      </c>
      <c r="R17" s="8">
        <f>F17*G17/144</f>
        <v>2.9952256944444446</v>
      </c>
      <c r="S17" s="7">
        <f>O17</f>
        <v>50</v>
      </c>
      <c r="T17" s="6">
        <f>R17*S17</f>
        <v>149.76128472222223</v>
      </c>
      <c r="U17" s="5" t="s">
        <v>34</v>
      </c>
    </row>
    <row r="18" spans="1:21" x14ac:dyDescent="0.25">
      <c r="A18" s="10">
        <v>7</v>
      </c>
      <c r="B18" s="11" t="s">
        <v>29</v>
      </c>
      <c r="C18" s="11" t="s">
        <v>18</v>
      </c>
      <c r="D18" s="10" t="s">
        <v>33</v>
      </c>
      <c r="E18" s="11" t="s">
        <v>20</v>
      </c>
      <c r="F18" s="9">
        <v>25.75</v>
      </c>
      <c r="G18" s="9">
        <v>17.75</v>
      </c>
      <c r="H18" s="10" t="s">
        <v>4</v>
      </c>
      <c r="I18" s="10" t="s">
        <v>3</v>
      </c>
      <c r="J18" s="10" t="s">
        <v>10</v>
      </c>
      <c r="K18" s="10">
        <v>0</v>
      </c>
      <c r="L18" s="10">
        <v>0</v>
      </c>
      <c r="M18" s="10">
        <v>0</v>
      </c>
      <c r="N18" s="10">
        <v>1</v>
      </c>
      <c r="O18" s="10">
        <v>50</v>
      </c>
      <c r="P18" s="9">
        <f>2*(F18+G18)/12</f>
        <v>7.25</v>
      </c>
      <c r="Q18" s="9">
        <f>(F18+G18)/12</f>
        <v>3.625</v>
      </c>
      <c r="R18" s="8">
        <f>F18*G18/144</f>
        <v>3.1740451388888888</v>
      </c>
      <c r="S18" s="7">
        <f>O18</f>
        <v>50</v>
      </c>
      <c r="T18" s="6">
        <f>R18*S18</f>
        <v>158.70225694444443</v>
      </c>
      <c r="U18" s="5" t="s">
        <v>32</v>
      </c>
    </row>
    <row r="19" spans="1:21" x14ac:dyDescent="0.25">
      <c r="A19" s="10">
        <v>7</v>
      </c>
      <c r="B19" s="11" t="s">
        <v>29</v>
      </c>
      <c r="C19" s="11" t="s">
        <v>18</v>
      </c>
      <c r="D19" s="10" t="s">
        <v>31</v>
      </c>
      <c r="E19" s="11" t="s">
        <v>16</v>
      </c>
      <c r="F19" s="9">
        <v>45.5</v>
      </c>
      <c r="G19" s="9">
        <v>25.75</v>
      </c>
      <c r="H19" s="10" t="s">
        <v>4</v>
      </c>
      <c r="I19" s="10" t="s">
        <v>3</v>
      </c>
      <c r="J19" s="10" t="s">
        <v>10</v>
      </c>
      <c r="K19" s="10">
        <v>0</v>
      </c>
      <c r="L19" s="10">
        <v>0</v>
      </c>
      <c r="M19" s="10">
        <v>0</v>
      </c>
      <c r="N19" s="10">
        <v>1</v>
      </c>
      <c r="O19" s="10">
        <v>50</v>
      </c>
      <c r="P19" s="9">
        <f>2*(F19+G19)/12</f>
        <v>11.875</v>
      </c>
      <c r="Q19" s="9">
        <f>(F19+G19)/12</f>
        <v>5.9375</v>
      </c>
      <c r="R19" s="8">
        <f>F19*G19/144</f>
        <v>8.1362847222222214</v>
      </c>
      <c r="S19" s="7">
        <f>O19</f>
        <v>50</v>
      </c>
      <c r="T19" s="6">
        <f>R19*S19</f>
        <v>406.81423611111109</v>
      </c>
      <c r="U19" s="5" t="s">
        <v>30</v>
      </c>
    </row>
    <row r="20" spans="1:21" x14ac:dyDescent="0.25">
      <c r="A20" s="10">
        <v>8</v>
      </c>
      <c r="B20" s="11" t="s">
        <v>29</v>
      </c>
      <c r="C20" s="11" t="s">
        <v>13</v>
      </c>
      <c r="D20" s="10" t="s">
        <v>28</v>
      </c>
      <c r="E20" s="11" t="s">
        <v>11</v>
      </c>
      <c r="F20" s="9">
        <v>50.75</v>
      </c>
      <c r="G20" s="9">
        <v>22.75</v>
      </c>
      <c r="H20" s="10" t="s">
        <v>4</v>
      </c>
      <c r="I20" s="10" t="s">
        <v>3</v>
      </c>
      <c r="J20" s="10" t="s">
        <v>2</v>
      </c>
      <c r="K20" s="10">
        <v>1</v>
      </c>
      <c r="L20" s="10">
        <v>0</v>
      </c>
      <c r="M20" s="10">
        <v>0</v>
      </c>
      <c r="N20" s="10">
        <v>0</v>
      </c>
      <c r="O20" s="10">
        <v>50</v>
      </c>
      <c r="P20" s="9">
        <f>2*(F20+G20)/12</f>
        <v>12.25</v>
      </c>
      <c r="Q20" s="9">
        <f>(F20+G20)/12</f>
        <v>6.125</v>
      </c>
      <c r="R20" s="8">
        <f>F20*G20/144</f>
        <v>8.0177951388888893</v>
      </c>
      <c r="S20" s="7">
        <f>O20</f>
        <v>50</v>
      </c>
      <c r="T20" s="6">
        <f>R20*S20</f>
        <v>400.88975694444446</v>
      </c>
      <c r="U20" s="5" t="s">
        <v>27</v>
      </c>
    </row>
    <row r="21" spans="1:21" x14ac:dyDescent="0.25">
      <c r="A21" s="24">
        <v>9</v>
      </c>
      <c r="B21" s="25" t="s">
        <v>14</v>
      </c>
      <c r="C21" s="25" t="s">
        <v>18</v>
      </c>
      <c r="D21" s="24" t="s">
        <v>26</v>
      </c>
      <c r="E21" s="25" t="s">
        <v>25</v>
      </c>
      <c r="F21" s="23">
        <v>124</v>
      </c>
      <c r="G21" s="23">
        <v>34.25</v>
      </c>
      <c r="H21" s="24" t="s">
        <v>4</v>
      </c>
      <c r="I21" s="24" t="s">
        <v>3</v>
      </c>
      <c r="J21" s="24" t="s">
        <v>10</v>
      </c>
      <c r="K21" s="24">
        <v>0</v>
      </c>
      <c r="L21" s="24">
        <v>0</v>
      </c>
      <c r="M21" s="24">
        <v>0</v>
      </c>
      <c r="N21" s="24">
        <v>1</v>
      </c>
      <c r="O21" s="24">
        <v>105</v>
      </c>
      <c r="P21" s="23">
        <f>2*(F21+G21)/12</f>
        <v>26.375</v>
      </c>
      <c r="Q21" s="23">
        <f>(F21+G21)/12</f>
        <v>13.1875</v>
      </c>
      <c r="R21" s="22">
        <f>F21*G21/144</f>
        <v>29.493055555555557</v>
      </c>
      <c r="S21" s="21">
        <f>O21</f>
        <v>105</v>
      </c>
      <c r="T21" s="20">
        <f>R21*S21</f>
        <v>3096.7708333333335</v>
      </c>
      <c r="U21" s="19" t="s">
        <v>24</v>
      </c>
    </row>
    <row r="22" spans="1:21" x14ac:dyDescent="0.25">
      <c r="A22" s="24">
        <v>9</v>
      </c>
      <c r="B22" s="25" t="s">
        <v>14</v>
      </c>
      <c r="C22" s="25" t="s">
        <v>18</v>
      </c>
      <c r="D22" s="24" t="s">
        <v>23</v>
      </c>
      <c r="E22" s="25" t="s">
        <v>20</v>
      </c>
      <c r="F22" s="23">
        <v>25.75</v>
      </c>
      <c r="G22" s="23">
        <v>16.75</v>
      </c>
      <c r="H22" s="24" t="s">
        <v>4</v>
      </c>
      <c r="I22" s="24" t="s">
        <v>3</v>
      </c>
      <c r="J22" s="24" t="s">
        <v>10</v>
      </c>
      <c r="K22" s="24">
        <v>0</v>
      </c>
      <c r="L22" s="24">
        <v>0</v>
      </c>
      <c r="M22" s="24">
        <v>0</v>
      </c>
      <c r="N22" s="24">
        <v>1</v>
      </c>
      <c r="O22" s="24">
        <v>100</v>
      </c>
      <c r="P22" s="23">
        <f>2*(F22+G22)/12</f>
        <v>7.083333333333333</v>
      </c>
      <c r="Q22" s="23">
        <f>(F22+G22)/12</f>
        <v>3.5416666666666665</v>
      </c>
      <c r="R22" s="22">
        <f>F22*G22/144</f>
        <v>2.9952256944444446</v>
      </c>
      <c r="S22" s="21">
        <f>O22</f>
        <v>100</v>
      </c>
      <c r="T22" s="20">
        <f>R22*S22</f>
        <v>299.52256944444446</v>
      </c>
      <c r="U22" s="19" t="s">
        <v>22</v>
      </c>
    </row>
    <row r="23" spans="1:21" x14ac:dyDescent="0.25">
      <c r="A23" s="24">
        <v>9</v>
      </c>
      <c r="B23" s="25" t="s">
        <v>14</v>
      </c>
      <c r="C23" s="25" t="s">
        <v>18</v>
      </c>
      <c r="D23" s="24" t="s">
        <v>21</v>
      </c>
      <c r="E23" s="25" t="s">
        <v>20</v>
      </c>
      <c r="F23" s="23">
        <v>25.75</v>
      </c>
      <c r="G23" s="23">
        <v>17.75</v>
      </c>
      <c r="H23" s="24" t="s">
        <v>4</v>
      </c>
      <c r="I23" s="24" t="s">
        <v>3</v>
      </c>
      <c r="J23" s="24" t="s">
        <v>10</v>
      </c>
      <c r="K23" s="24">
        <v>0</v>
      </c>
      <c r="L23" s="24">
        <v>0</v>
      </c>
      <c r="M23" s="24">
        <v>0</v>
      </c>
      <c r="N23" s="24">
        <v>1</v>
      </c>
      <c r="O23" s="24">
        <v>100</v>
      </c>
      <c r="P23" s="23">
        <f>2*(F23+G23)/12</f>
        <v>7.25</v>
      </c>
      <c r="Q23" s="23">
        <f>(F23+G23)/12</f>
        <v>3.625</v>
      </c>
      <c r="R23" s="22">
        <f>F23*G23/144</f>
        <v>3.1740451388888888</v>
      </c>
      <c r="S23" s="21">
        <f>O23</f>
        <v>100</v>
      </c>
      <c r="T23" s="20">
        <f>R23*S23</f>
        <v>317.40451388888886</v>
      </c>
      <c r="U23" s="19" t="s">
        <v>19</v>
      </c>
    </row>
    <row r="24" spans="1:21" x14ac:dyDescent="0.25">
      <c r="A24" s="17">
        <v>9</v>
      </c>
      <c r="B24" s="18" t="s">
        <v>14</v>
      </c>
      <c r="C24" s="18" t="s">
        <v>18</v>
      </c>
      <c r="D24" s="17" t="s">
        <v>17</v>
      </c>
      <c r="E24" s="18" t="s">
        <v>16</v>
      </c>
      <c r="F24" s="16">
        <v>45.5</v>
      </c>
      <c r="G24" s="16">
        <v>25.75</v>
      </c>
      <c r="H24" s="17" t="s">
        <v>4</v>
      </c>
      <c r="I24" s="17" t="s">
        <v>3</v>
      </c>
      <c r="J24" s="17" t="s">
        <v>10</v>
      </c>
      <c r="K24" s="17">
        <v>0</v>
      </c>
      <c r="L24" s="17">
        <v>0</v>
      </c>
      <c r="M24" s="17">
        <v>0</v>
      </c>
      <c r="N24" s="17">
        <v>1</v>
      </c>
      <c r="O24" s="17">
        <v>100</v>
      </c>
      <c r="P24" s="16">
        <f>2*(F24+G24)/12</f>
        <v>11.875</v>
      </c>
      <c r="Q24" s="16">
        <f>(F24+G24)/12</f>
        <v>5.9375</v>
      </c>
      <c r="R24" s="15">
        <f>F24*G24/144</f>
        <v>8.1362847222222214</v>
      </c>
      <c r="S24" s="14">
        <f>O24</f>
        <v>100</v>
      </c>
      <c r="T24" s="13">
        <f>R24*S24</f>
        <v>813.62847222222217</v>
      </c>
      <c r="U24" s="12" t="s">
        <v>15</v>
      </c>
    </row>
    <row r="25" spans="1:21" x14ac:dyDescent="0.25">
      <c r="A25" s="17">
        <v>10</v>
      </c>
      <c r="B25" s="18" t="s">
        <v>14</v>
      </c>
      <c r="C25" s="18" t="s">
        <v>13</v>
      </c>
      <c r="D25" s="17" t="s">
        <v>12</v>
      </c>
      <c r="E25" s="18" t="s">
        <v>11</v>
      </c>
      <c r="F25" s="16">
        <v>50.75</v>
      </c>
      <c r="G25" s="16">
        <v>22.75</v>
      </c>
      <c r="H25" s="17" t="s">
        <v>4</v>
      </c>
      <c r="I25" s="17" t="s">
        <v>3</v>
      </c>
      <c r="J25" s="17" t="s">
        <v>10</v>
      </c>
      <c r="K25" s="17">
        <v>0</v>
      </c>
      <c r="L25" s="17">
        <v>0</v>
      </c>
      <c r="M25" s="17">
        <v>0</v>
      </c>
      <c r="N25" s="17">
        <v>0</v>
      </c>
      <c r="O25" s="17">
        <v>100</v>
      </c>
      <c r="P25" s="16">
        <f>2*(F25+G25)/12</f>
        <v>12.25</v>
      </c>
      <c r="Q25" s="16">
        <f>(F25+G25)/12</f>
        <v>6.125</v>
      </c>
      <c r="R25" s="15">
        <f>F25*G25/144</f>
        <v>8.0177951388888893</v>
      </c>
      <c r="S25" s="14">
        <f>O25</f>
        <v>100</v>
      </c>
      <c r="T25" s="13">
        <f>R25*S25</f>
        <v>801.77951388888891</v>
      </c>
      <c r="U25" s="12" t="s">
        <v>9</v>
      </c>
    </row>
    <row r="26" spans="1:21" x14ac:dyDescent="0.25">
      <c r="A26" s="10">
        <v>6</v>
      </c>
      <c r="B26" s="11" t="s">
        <v>8</v>
      </c>
      <c r="C26" s="11" t="s">
        <v>7</v>
      </c>
      <c r="D26" s="10" t="s">
        <v>6</v>
      </c>
      <c r="E26" s="11" t="s">
        <v>5</v>
      </c>
      <c r="F26" s="9">
        <v>38.75</v>
      </c>
      <c r="G26" s="9">
        <v>22.75</v>
      </c>
      <c r="H26" s="10" t="s">
        <v>4</v>
      </c>
      <c r="I26" s="10" t="s">
        <v>3</v>
      </c>
      <c r="J26" s="10" t="s">
        <v>2</v>
      </c>
      <c r="K26" s="10">
        <v>1</v>
      </c>
      <c r="L26" s="10">
        <v>0</v>
      </c>
      <c r="M26" s="10">
        <v>0</v>
      </c>
      <c r="N26" s="10">
        <v>0</v>
      </c>
      <c r="O26" s="10">
        <v>200</v>
      </c>
      <c r="P26" s="9">
        <f>2*(F26+G26)/12</f>
        <v>10.25</v>
      </c>
      <c r="Q26" s="9">
        <f>(F26+G26)/12</f>
        <v>5.125</v>
      </c>
      <c r="R26" s="8">
        <f>F26*G26/144</f>
        <v>6.1219618055555554</v>
      </c>
      <c r="S26" s="7">
        <f>O26</f>
        <v>200</v>
      </c>
      <c r="T26" s="6">
        <f>R26*S26</f>
        <v>1224.3923611111111</v>
      </c>
      <c r="U26" s="5" t="s">
        <v>1</v>
      </c>
    </row>
    <row r="27" spans="1:21" x14ac:dyDescent="0.25">
      <c r="A27" s="1"/>
      <c r="B27" s="4" t="s">
        <v>0</v>
      </c>
      <c r="C27" s="1"/>
      <c r="D27" s="1"/>
      <c r="E27" s="1"/>
      <c r="F27" s="1"/>
      <c r="G27" s="1"/>
      <c r="H27" s="1"/>
      <c r="I27" s="1"/>
      <c r="J27" s="1"/>
      <c r="K27" s="3">
        <f>SUMPRODUCT(K5:K26,O5:O26)</f>
        <v>639</v>
      </c>
      <c r="L27" s="1"/>
      <c r="M27" s="1"/>
      <c r="N27" s="1"/>
      <c r="O27" s="1"/>
      <c r="P27" s="1"/>
      <c r="Q27" s="1"/>
      <c r="R27" s="1"/>
      <c r="S27" s="3">
        <f>SUM(S5:S26)</f>
        <v>1531</v>
      </c>
      <c r="T27" s="2">
        <f>SUM(T5:T26)</f>
        <v>15828.278645833338</v>
      </c>
      <c r="U27" s="1"/>
    </row>
  </sheetData>
  <mergeCells count="2">
    <mergeCell ref="A2:XFD2"/>
    <mergeCell ref="A1:XF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2026-10-15T12:10:35Z</dcterms:created>
  <dcterms:modified xsi:type="dcterms:W3CDTF">2026-10-15T12:11:08Z</dcterms:modified>
</cp:coreProperties>
</file>