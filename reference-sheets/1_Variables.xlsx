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6762043-3B50-4127-85E3-ACFA9A198876}" xr6:coauthVersionLast="47" xr6:coauthVersionMax="47" xr10:uidLastSave="{00000000-0000-0000-0000-000000000000}"/>
  <bookViews>
    <workbookView xWindow="-120" yWindow="-120" windowWidth="29040" windowHeight="15720" xr2:uid="{2892CE11-4EC4-490D-953B-0FC741BB4DAC}"/>
  </bookViews>
  <sheets>
    <sheet name="Variabl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D12" i="1"/>
  <c r="B26" i="1"/>
  <c r="B28" i="1" s="1"/>
  <c r="B27" i="1"/>
  <c r="C19" i="1" l="1"/>
  <c r="D19" i="1"/>
</calcChain>
</file>

<file path=xl/sharedStrings.xml><?xml version="1.0" encoding="utf-8"?>
<sst xmlns="http://schemas.openxmlformats.org/spreadsheetml/2006/main" count="39" uniqueCount="37">
  <si>
    <t>Packing per Sqft (USD)</t>
  </si>
  <si>
    <t>Total Project Sqft (Drawing Summary)</t>
  </si>
  <si>
    <t>Total Packing (USD)</t>
  </si>
  <si>
    <t>Exchange Rate (Rs per USD)</t>
  </si>
  <si>
    <t>CONFIRMED (Ver2): 3 x 40ft containers. Container cost Rs 200,000 each (Ver2, was Rs 145,000).</t>
  </si>
  <si>
    <t>Number of 40ft containers</t>
  </si>
  <si>
    <t>40ft Container cost (Rs per container)</t>
  </si>
  <si>
    <t>PACKING CALCULATION</t>
  </si>
  <si>
    <t>per sqft</t>
  </si>
  <si>
    <t>Packing</t>
  </si>
  <si>
    <t>per joint</t>
  </si>
  <si>
    <t>Joint</t>
  </si>
  <si>
    <t>per corner</t>
  </si>
  <si>
    <t>R-Corner</t>
  </si>
  <si>
    <t>per hole</t>
  </si>
  <si>
    <t>Faucet Hole</t>
  </si>
  <si>
    <t>per cutout</t>
  </si>
  <si>
    <t>Sink Cutout</t>
  </si>
  <si>
    <t>per linear ft</t>
  </si>
  <si>
    <t>DE&amp;P (Edge Polish)</t>
  </si>
  <si>
    <t>Cutting</t>
  </si>
  <si>
    <t>CONFIRMED (Ver2 Rev1): 1.5cm material $3.50/sqft (was $4.50 placeholder). Customer side follows (no markup on material).</t>
  </si>
  <si>
    <t>1.5cm Material (color TBD)</t>
  </si>
  <si>
    <t>Customer Charge</t>
  </si>
  <si>
    <t>My Cost</t>
  </si>
  <si>
    <t>Unit</t>
  </si>
  <si>
    <t>Cost Item</t>
  </si>
  <si>
    <t>COST INPUTS</t>
  </si>
  <si>
    <t>1.5cm - Color TBD</t>
  </si>
  <si>
    <t>Material Basis</t>
  </si>
  <si>
    <t>Slab Area (sqft)</t>
  </si>
  <si>
    <t>Slab Depth (inches)</t>
  </si>
  <si>
    <t>Slab Width (inches)</t>
  </si>
  <si>
    <t>SLAB SPECIFICATIONS</t>
  </si>
  <si>
    <t>Legend: blue = editable input | yellow fill = placeholder/assumption to confirm | black = formula | green = link to another sheet</t>
  </si>
  <si>
    <t>Countertop Costing Template - Rate Card (Project #1624 Ver11 format)</t>
  </si>
  <si>
    <t>Lennar NWA Brighton Park - Countertop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</si>
</sst>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00"/>
    <numFmt numFmtId="165" formatCode="\$#,##0.00"/>
    <numFmt numFmtId="166" formatCode="\$#,##0.000"/>
    <numFmt numFmtId="167" formatCode="0.0000"/>
  </numFmts>
  <fonts count="9" x14ac:knownFonts="1">
    <font>
      <sz val="11"/>
      <color theme="1"/>
      <name val="Calibri"/>
      <family val="2"/>
      <charset val="1"/>
    </font>
    <font>
      <sz val="9"/>
      <name val="Arial"/>
      <charset val="1"/>
    </font>
    <font>
      <sz val="9"/>
      <color rgb="FF008000"/>
      <name val="Arial"/>
      <charset val="1"/>
    </font>
    <font>
      <b/>
      <sz val="9"/>
      <color rgb="FF0000FF"/>
      <name val="Arial"/>
      <charset val="1"/>
    </font>
    <font>
      <i/>
      <sz val="8"/>
      <color rgb="FF9C5700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b/>
      <sz val="9"/>
      <name val="Arial"/>
      <charset val="1"/>
    </font>
    <font>
      <b/>
      <sz val="1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Lennar_NWA_Brighton_Park_Quote_Ver5.xlsx" TargetMode="External"/><Relationship Id="rId1" Type="http://schemas.openxmlformats.org/officeDocument/2006/relationships/externalLinkPath" Target="Lennar_NWA_Brighton_Park_Quote_Ver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wing Summary"/>
      <sheetName val="Internal Costing"/>
      <sheetName val="Customer Quote"/>
      <sheetName val="Quote Summary"/>
      <sheetName val="Slab Calculation"/>
      <sheetName val="Project Summary"/>
    </sheetNames>
    <sheetDataSet>
      <sheetData sheetId="0">
        <row r="27">
          <cell r="T27">
            <v>15828.278645833338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3D39-0578-4000-A9CE-70726DFEE8E3}">
  <dimension ref="A1:E28"/>
  <sheetViews>
    <sheetView showGridLines="0" tabSelected="1" zoomScaleNormal="100" workbookViewId="0">
      <pane ySplit="4" topLeftCell="A5" activePane="bottomLeft" state="frozen"/>
      <selection sqref="A1:XFD1048576"/>
      <selection pane="bottomLeft" activeCell="K28" sqref="K28"/>
    </sheetView>
  </sheetViews>
  <sheetFormatPr defaultColWidth="8.7109375" defaultRowHeight="15" x14ac:dyDescent="0.25"/>
  <cols>
    <col min="1" max="1" width="40" customWidth="1"/>
    <col min="2" max="2" width="18" customWidth="1"/>
    <col min="3" max="3" width="14" customWidth="1"/>
    <col min="4" max="4" width="16" customWidth="1"/>
    <col min="5" max="5" width="60" customWidth="1"/>
  </cols>
  <sheetData>
    <row r="1" spans="1:5" s="18" customFormat="1" ht="16.5" x14ac:dyDescent="0.25">
      <c r="A1" s="18" t="s">
        <v>36</v>
      </c>
    </row>
    <row r="2" spans="1:5" s="17" customFormat="1" ht="15" customHeight="1" x14ac:dyDescent="0.25">
      <c r="A2" s="17" t="s">
        <v>35</v>
      </c>
    </row>
    <row r="3" spans="1:5" x14ac:dyDescent="0.25">
      <c r="A3" s="16" t="s">
        <v>34</v>
      </c>
    </row>
    <row r="4" spans="1:5" x14ac:dyDescent="0.25">
      <c r="A4" s="9" t="s">
        <v>33</v>
      </c>
      <c r="B4" s="8"/>
    </row>
    <row r="5" spans="1:5" x14ac:dyDescent="0.25">
      <c r="A5" s="2" t="s">
        <v>32</v>
      </c>
      <c r="B5" s="14">
        <v>136</v>
      </c>
    </row>
    <row r="6" spans="1:5" x14ac:dyDescent="0.25">
      <c r="A6" s="2" t="s">
        <v>31</v>
      </c>
      <c r="B6" s="14">
        <v>78</v>
      </c>
    </row>
    <row r="7" spans="1:5" x14ac:dyDescent="0.25">
      <c r="A7" s="2" t="s">
        <v>30</v>
      </c>
      <c r="B7" s="15">
        <f>B5*B6/144</f>
        <v>73.666666666666671</v>
      </c>
    </row>
    <row r="8" spans="1:5" x14ac:dyDescent="0.25">
      <c r="A8" s="2" t="s">
        <v>29</v>
      </c>
      <c r="B8" s="14" t="s">
        <v>28</v>
      </c>
    </row>
    <row r="10" spans="1:5" x14ac:dyDescent="0.25">
      <c r="A10" s="9" t="s">
        <v>27</v>
      </c>
    </row>
    <row r="11" spans="1:5" x14ac:dyDescent="0.25">
      <c r="A11" s="13" t="s">
        <v>26</v>
      </c>
      <c r="B11" s="13" t="s">
        <v>25</v>
      </c>
      <c r="C11" s="13" t="s">
        <v>24</v>
      </c>
      <c r="D11" s="13" t="s">
        <v>23</v>
      </c>
    </row>
    <row r="12" spans="1:5" x14ac:dyDescent="0.25">
      <c r="A12" s="2" t="s">
        <v>22</v>
      </c>
      <c r="B12" s="10" t="s">
        <v>8</v>
      </c>
      <c r="C12" s="11">
        <v>3.5</v>
      </c>
      <c r="D12" s="12">
        <f>C12</f>
        <v>3.5</v>
      </c>
      <c r="E12" s="6" t="s">
        <v>21</v>
      </c>
    </row>
    <row r="13" spans="1:5" x14ac:dyDescent="0.25">
      <c r="A13" s="2" t="s">
        <v>20</v>
      </c>
      <c r="B13" s="10" t="s">
        <v>18</v>
      </c>
      <c r="C13" s="11">
        <v>0.21</v>
      </c>
      <c r="D13" s="11">
        <v>0.3</v>
      </c>
    </row>
    <row r="14" spans="1:5" x14ac:dyDescent="0.25">
      <c r="A14" s="2" t="s">
        <v>19</v>
      </c>
      <c r="B14" s="10" t="s">
        <v>18</v>
      </c>
      <c r="C14" s="11">
        <v>0.25</v>
      </c>
      <c r="D14" s="11">
        <v>0.4</v>
      </c>
    </row>
    <row r="15" spans="1:5" x14ac:dyDescent="0.25">
      <c r="A15" s="2" t="s">
        <v>17</v>
      </c>
      <c r="B15" s="10" t="s">
        <v>16</v>
      </c>
      <c r="C15" s="11">
        <v>2</v>
      </c>
      <c r="D15" s="11">
        <v>4</v>
      </c>
    </row>
    <row r="16" spans="1:5" x14ac:dyDescent="0.25">
      <c r="A16" s="2" t="s">
        <v>15</v>
      </c>
      <c r="B16" s="10" t="s">
        <v>14</v>
      </c>
      <c r="C16" s="11">
        <v>2</v>
      </c>
      <c r="D16" s="11">
        <v>3</v>
      </c>
    </row>
    <row r="17" spans="1:4" x14ac:dyDescent="0.25">
      <c r="A17" s="2" t="s">
        <v>13</v>
      </c>
      <c r="B17" s="10" t="s">
        <v>12</v>
      </c>
      <c r="C17" s="11">
        <v>2</v>
      </c>
      <c r="D17" s="11">
        <v>3</v>
      </c>
    </row>
    <row r="18" spans="1:4" x14ac:dyDescent="0.25">
      <c r="A18" s="2" t="s">
        <v>11</v>
      </c>
      <c r="B18" s="10" t="s">
        <v>10</v>
      </c>
      <c r="C18" s="11">
        <v>0</v>
      </c>
      <c r="D18" s="11">
        <v>0</v>
      </c>
    </row>
    <row r="19" spans="1:4" x14ac:dyDescent="0.25">
      <c r="A19" s="2" t="s">
        <v>9</v>
      </c>
      <c r="B19" s="10" t="s">
        <v>8</v>
      </c>
      <c r="C19" s="1">
        <f>B28</f>
        <v>0.39901935106170183</v>
      </c>
      <c r="D19" s="1">
        <f>B28</f>
        <v>0.39901935106170183</v>
      </c>
    </row>
    <row r="22" spans="1:4" x14ac:dyDescent="0.25">
      <c r="A22" s="9" t="s">
        <v>7</v>
      </c>
      <c r="B22" s="8"/>
    </row>
    <row r="23" spans="1:4" x14ac:dyDescent="0.25">
      <c r="A23" s="2" t="s">
        <v>6</v>
      </c>
      <c r="B23" s="7">
        <v>200000</v>
      </c>
    </row>
    <row r="24" spans="1:4" x14ac:dyDescent="0.25">
      <c r="A24" s="2" t="s">
        <v>5</v>
      </c>
      <c r="B24" s="5">
        <v>3</v>
      </c>
      <c r="C24" s="6" t="s">
        <v>4</v>
      </c>
    </row>
    <row r="25" spans="1:4" x14ac:dyDescent="0.25">
      <c r="A25" s="2" t="s">
        <v>3</v>
      </c>
      <c r="B25" s="5">
        <v>95</v>
      </c>
    </row>
    <row r="26" spans="1:4" x14ac:dyDescent="0.25">
      <c r="A26" s="2" t="s">
        <v>2</v>
      </c>
      <c r="B26" s="4">
        <f>B23*B24/B25</f>
        <v>6315.7894736842109</v>
      </c>
    </row>
    <row r="27" spans="1:4" x14ac:dyDescent="0.25">
      <c r="A27" s="2" t="s">
        <v>1</v>
      </c>
      <c r="B27" s="3">
        <f>'[1]Drawing Summary'!T27</f>
        <v>15828.278645833338</v>
      </c>
    </row>
    <row r="28" spans="1:4" x14ac:dyDescent="0.25">
      <c r="A28" s="2" t="s">
        <v>0</v>
      </c>
      <c r="B28" s="1">
        <f>B26/B27</f>
        <v>0.39901935106170183</v>
      </c>
    </row>
  </sheetData>
  <mergeCells count="2">
    <mergeCell ref="A1:XFD1"/>
    <mergeCell ref="A2:XF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2026-10-15T12:07:07Z</dcterms:created>
  <dcterms:modified xsi:type="dcterms:W3CDTF">2026-10-15T12:07:47Z</dcterms:modified>
</cp:coreProperties>
</file>