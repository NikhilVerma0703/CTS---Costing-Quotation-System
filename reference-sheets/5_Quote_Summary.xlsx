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3F0153-EB31-4458-9755-BDD4FBBC9AD1}" xr6:coauthVersionLast="47" xr6:coauthVersionMax="47" xr10:uidLastSave="{00000000-0000-0000-0000-000000000000}"/>
  <bookViews>
    <workbookView xWindow="-120" yWindow="-120" windowWidth="29040" windowHeight="15720" xr2:uid="{506D0E0F-EEC2-4262-A83F-66B92E8EBF91}"/>
  </bookViews>
  <sheets>
    <sheet name="Quote Summary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H4" i="1"/>
  <c r="H26" i="1" s="1"/>
  <c r="I4" i="1"/>
  <c r="J4" i="1"/>
  <c r="J26" i="1" s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F26" i="1" s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C24" i="1"/>
  <c r="D24" i="1"/>
  <c r="E24" i="1"/>
  <c r="F24" i="1"/>
  <c r="G24" i="1"/>
  <c r="H24" i="1"/>
  <c r="I24" i="1"/>
  <c r="J24" i="1"/>
  <c r="A25" i="1"/>
  <c r="B25" i="1"/>
  <c r="C25" i="1"/>
  <c r="D25" i="1"/>
  <c r="E25" i="1"/>
  <c r="F25" i="1"/>
  <c r="G25" i="1"/>
  <c r="H25" i="1"/>
  <c r="I25" i="1"/>
  <c r="J25" i="1"/>
</calcChain>
</file>

<file path=xl/sharedStrings.xml><?xml version="1.0" encoding="utf-8"?>
<sst xmlns="http://schemas.openxmlformats.org/spreadsheetml/2006/main" count="12" uniqueCount="12">
  <si>
    <t>TOTAL (piece-basis material)</t>
  </si>
  <si>
    <t>Total Price</t>
  </si>
  <si>
    <t>Price/Pc</t>
  </si>
  <si>
    <t>Total Sqft</t>
  </si>
  <si>
    <t>Sqft/Pc</t>
  </si>
  <si>
    <t>Units Qty</t>
  </si>
  <si>
    <t>Description</t>
  </si>
  <si>
    <t>Piece</t>
  </si>
  <si>
    <t>Area</t>
  </si>
  <si>
    <t>Group</t>
  </si>
  <si>
    <t>Dwg#</t>
  </si>
  <si>
    <t>Lennar NWA Brighton Park - Quote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</si>
</sst>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charset val="1"/>
    </font>
    <font>
      <b/>
      <sz val="9"/>
      <name val="Arial"/>
      <charset val="1"/>
    </font>
    <font>
      <sz val="9"/>
      <name val="Arial"/>
      <charset val="1"/>
    </font>
    <font>
      <sz val="9"/>
      <color rgb="FF008000"/>
      <name val="Arial"/>
      <charset val="1"/>
    </font>
    <font>
      <b/>
      <sz val="10"/>
      <color rgb="FFFFFFFF"/>
      <name val="Arial"/>
      <charset val="1"/>
    </font>
    <font>
      <b/>
      <sz val="1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EEAF1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4)%20Customer%20Quote(CTS).xlsx" TargetMode="External"/><Relationship Id="rId1" Type="http://schemas.openxmlformats.org/officeDocument/2006/relationships/externalLinkPath" Target="%234)%20Customer%20Quote(CT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2)%20Drawing%20Summary(CTS).xlsx" TargetMode="External"/><Relationship Id="rId1" Type="http://schemas.openxmlformats.org/officeDocument/2006/relationships/externalLinkPath" Target="%232)%20Drawing%20Summary(CT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 Quote"/>
    </sheetNames>
    <sheetDataSet>
      <sheetData sheetId="0">
        <row r="4">
          <cell r="O4">
            <v>133.08863932827111</v>
          </cell>
          <cell r="P4">
            <v>7053.6978843983688</v>
          </cell>
        </row>
        <row r="5">
          <cell r="O5">
            <v>29.270078146332633</v>
          </cell>
          <cell r="P5">
            <v>1492.7739854629642</v>
          </cell>
        </row>
        <row r="6">
          <cell r="O6">
            <v>54.833215344195281</v>
          </cell>
          <cell r="P6">
            <v>2796.4939825539595</v>
          </cell>
        </row>
        <row r="7">
          <cell r="O7">
            <v>29.270078146332633</v>
          </cell>
          <cell r="P7">
            <v>1492.7739854629642</v>
          </cell>
        </row>
        <row r="8">
          <cell r="O8">
            <v>70.737042017978283</v>
          </cell>
          <cell r="P8">
            <v>4668.6447731865665</v>
          </cell>
        </row>
        <row r="9">
          <cell r="O9">
            <v>32.994647546321744</v>
          </cell>
          <cell r="P9">
            <v>1682.7270248624091</v>
          </cell>
        </row>
        <row r="10">
          <cell r="O10">
            <v>132.18149433304896</v>
          </cell>
          <cell r="P10">
            <v>7005.6191996515945</v>
          </cell>
        </row>
        <row r="11">
          <cell r="O11">
            <v>15.220109610102782</v>
          </cell>
          <cell r="P11">
            <v>761.00548050513908</v>
          </cell>
        </row>
        <row r="12">
          <cell r="O12">
            <v>16.000663417671106</v>
          </cell>
          <cell r="P12">
            <v>800.03317088355527</v>
          </cell>
        </row>
        <row r="13">
          <cell r="O13">
            <v>37.661031577692121</v>
          </cell>
          <cell r="P13">
            <v>1883.051578884606</v>
          </cell>
        </row>
        <row r="14">
          <cell r="O14">
            <v>41.386538399376228</v>
          </cell>
          <cell r="P14">
            <v>2069.3269199688116</v>
          </cell>
        </row>
        <row r="15">
          <cell r="O15">
            <v>132.18149433304896</v>
          </cell>
          <cell r="P15">
            <v>6609.0747166524479</v>
          </cell>
        </row>
        <row r="16">
          <cell r="O16">
            <v>15.220109610102782</v>
          </cell>
          <cell r="P16">
            <v>761.00548050513908</v>
          </cell>
        </row>
        <row r="17">
          <cell r="O17">
            <v>16.000663417671106</v>
          </cell>
          <cell r="P17">
            <v>800.03317088355527</v>
          </cell>
        </row>
        <row r="18">
          <cell r="O18">
            <v>37.661031577692121</v>
          </cell>
          <cell r="P18">
            <v>1883.051578884606</v>
          </cell>
        </row>
        <row r="19">
          <cell r="O19">
            <v>41.386538399376228</v>
          </cell>
          <cell r="P19">
            <v>2069.3269199688116</v>
          </cell>
        </row>
        <row r="20">
          <cell r="O20">
            <v>128.18149433304896</v>
          </cell>
          <cell r="P20">
            <v>13459.056904970141</v>
          </cell>
        </row>
        <row r="21">
          <cell r="O21">
            <v>15.220109610102782</v>
          </cell>
          <cell r="P21">
            <v>1522.0109610102782</v>
          </cell>
        </row>
        <row r="22">
          <cell r="O22">
            <v>16.000663417671106</v>
          </cell>
          <cell r="P22">
            <v>1600.0663417671105</v>
          </cell>
        </row>
        <row r="23">
          <cell r="O23">
            <v>37.661031577692121</v>
          </cell>
          <cell r="P23">
            <v>3766.103157769212</v>
          </cell>
        </row>
        <row r="24">
          <cell r="O24">
            <v>37.386538399376228</v>
          </cell>
          <cell r="P24">
            <v>3738.6538399376227</v>
          </cell>
        </row>
        <row r="25">
          <cell r="O25">
            <v>32.994647546321744</v>
          </cell>
          <cell r="P25">
            <v>6598.9295092643488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wing Summary"/>
    </sheetNames>
    <sheetDataSet>
      <sheetData sheetId="0">
        <row r="5">
          <cell r="A5">
            <v>1</v>
          </cell>
          <cell r="B5" t="str">
            <v>BERGA/CORNWALL/RIO/ARUB</v>
          </cell>
          <cell r="C5" t="str">
            <v>Kitchen</v>
          </cell>
          <cell r="D5" t="str">
            <v>1</v>
          </cell>
          <cell r="E5" t="str">
            <v>Island Top</v>
          </cell>
          <cell r="O5">
            <v>53</v>
          </cell>
          <cell r="R5">
            <v>28.978732638888889</v>
          </cell>
          <cell r="T5">
            <v>1535.8728298611111</v>
          </cell>
        </row>
        <row r="6">
          <cell r="A6">
            <v>1</v>
          </cell>
          <cell r="B6" t="str">
            <v>BERGA/CORNWALL/RIO/ARUB</v>
          </cell>
          <cell r="C6" t="str">
            <v>Kitchen</v>
          </cell>
          <cell r="D6" t="str">
            <v>2</v>
          </cell>
          <cell r="E6" t="str">
            <v>Return Top</v>
          </cell>
          <cell r="O6">
            <v>51</v>
          </cell>
          <cell r="R6">
            <v>6.2139756944444446</v>
          </cell>
          <cell r="T6">
            <v>316.91276041666669</v>
          </cell>
        </row>
        <row r="7">
          <cell r="A7">
            <v>1</v>
          </cell>
          <cell r="B7" t="str">
            <v>BERGA/CORNWALL/RIO/ARUB</v>
          </cell>
          <cell r="C7" t="str">
            <v>Kitchen</v>
          </cell>
          <cell r="D7" t="str">
            <v>3</v>
          </cell>
          <cell r="E7" t="str">
            <v>Main Run Top</v>
          </cell>
          <cell r="O7">
            <v>51</v>
          </cell>
          <cell r="R7">
            <v>12.0703125</v>
          </cell>
          <cell r="T7">
            <v>615.5859375</v>
          </cell>
        </row>
        <row r="8">
          <cell r="A8">
            <v>1</v>
          </cell>
          <cell r="B8" t="str">
            <v>BERGA/CORNWALL/RIO/ARUB</v>
          </cell>
          <cell r="C8" t="str">
            <v>Kitchen</v>
          </cell>
          <cell r="D8" t="str">
            <v>4</v>
          </cell>
          <cell r="E8" t="str">
            <v>Countertop</v>
          </cell>
          <cell r="O8">
            <v>51</v>
          </cell>
          <cell r="R8">
            <v>6.2139756944444446</v>
          </cell>
          <cell r="T8">
            <v>316.91276041666669</v>
          </cell>
        </row>
        <row r="9">
          <cell r="A9">
            <v>2</v>
          </cell>
          <cell r="B9" t="str">
            <v>BERGA/CORNWALL/RIO/ARUB</v>
          </cell>
          <cell r="C9" t="str">
            <v>MB Vanity</v>
          </cell>
          <cell r="D9" t="str">
            <v>5</v>
          </cell>
          <cell r="E9" t="str">
            <v>MB Vanity Top (double sink)</v>
          </cell>
          <cell r="O9">
            <v>66</v>
          </cell>
          <cell r="R9">
            <v>13.744791666666666</v>
          </cell>
          <cell r="T9">
            <v>907.15625</v>
          </cell>
        </row>
        <row r="10">
          <cell r="A10">
            <v>3</v>
          </cell>
          <cell r="B10" t="str">
            <v>BERGA/CORNWALL/RIO/ARUB</v>
          </cell>
          <cell r="C10" t="str">
            <v>B2 Vanity</v>
          </cell>
          <cell r="D10" t="str">
            <v>6</v>
          </cell>
          <cell r="E10" t="str">
            <v>B2 Vanity Top</v>
          </cell>
          <cell r="O10">
            <v>51</v>
          </cell>
          <cell r="R10">
            <v>6.1219618055555554</v>
          </cell>
          <cell r="T10">
            <v>312.22005208333331</v>
          </cell>
        </row>
        <row r="11">
          <cell r="A11">
            <v>4</v>
          </cell>
          <cell r="B11" t="str">
            <v>BONDS/MAYS/AARON/DIMAGGIO/GEHRIG/WANGER - Set 1 (As Shown)</v>
          </cell>
          <cell r="C11" t="str">
            <v>Kitchen</v>
          </cell>
          <cell r="D11" t="str">
            <v>1A</v>
          </cell>
          <cell r="E11" t="str">
            <v>Main Run Top (w/ 1-5/8" back strip)</v>
          </cell>
          <cell r="O11">
            <v>53</v>
          </cell>
          <cell r="R11">
            <v>29.493055555555557</v>
          </cell>
          <cell r="T11">
            <v>1563.1319444444446</v>
          </cell>
        </row>
        <row r="12">
          <cell r="A12">
            <v>4</v>
          </cell>
          <cell r="B12" t="str">
            <v>BONDS/MAYS/AARON/DIMAGGIO/GEHRIG/WANGER - Set 1 (As Shown)</v>
          </cell>
          <cell r="C12" t="str">
            <v>Kitchen</v>
          </cell>
          <cell r="D12" t="str">
            <v>1B</v>
          </cell>
          <cell r="E12" t="str">
            <v>Return Top</v>
          </cell>
          <cell r="O12">
            <v>50</v>
          </cell>
          <cell r="R12">
            <v>2.9952256944444446</v>
          </cell>
          <cell r="T12">
            <v>149.76128472222223</v>
          </cell>
        </row>
        <row r="13">
          <cell r="A13">
            <v>4</v>
          </cell>
          <cell r="B13" t="str">
            <v>BONDS/MAYS/AARON/DIMAGGIO/GEHRIG/WANGER - Set 1 (As Shown)</v>
          </cell>
          <cell r="C13" t="str">
            <v>Kitchen</v>
          </cell>
          <cell r="D13" t="str">
            <v>2A</v>
          </cell>
          <cell r="E13" t="str">
            <v>Return Top</v>
          </cell>
          <cell r="O13">
            <v>50</v>
          </cell>
          <cell r="R13">
            <v>3.1740451388888888</v>
          </cell>
          <cell r="T13">
            <v>158.70225694444443</v>
          </cell>
        </row>
        <row r="14">
          <cell r="A14">
            <v>4</v>
          </cell>
          <cell r="B14" t="str">
            <v>BONDS/MAYS/AARON/DIMAGGIO/GEHRIG/WANGER - Set 1 (As Shown)</v>
          </cell>
          <cell r="C14" t="str">
            <v>Kitchen</v>
          </cell>
          <cell r="D14" t="str">
            <v>2B</v>
          </cell>
          <cell r="E14" t="str">
            <v>Countertop</v>
          </cell>
          <cell r="O14">
            <v>50</v>
          </cell>
          <cell r="R14">
            <v>8.1362847222222214</v>
          </cell>
          <cell r="T14">
            <v>406.81423611111109</v>
          </cell>
        </row>
        <row r="15">
          <cell r="A15">
            <v>5</v>
          </cell>
          <cell r="B15" t="str">
            <v>BONDS/MAYS/AARON/DIMAGGIO/GEHRIG/WANGER - Set 1 (As Shown)</v>
          </cell>
          <cell r="C15" t="str">
            <v>MB Vanity</v>
          </cell>
          <cell r="D15" t="str">
            <v>3</v>
          </cell>
          <cell r="E15" t="str">
            <v>MB Vanity Top</v>
          </cell>
          <cell r="O15">
            <v>50</v>
          </cell>
          <cell r="R15">
            <v>8.0177951388888893</v>
          </cell>
          <cell r="T15">
            <v>400.88975694444446</v>
          </cell>
        </row>
        <row r="16">
          <cell r="A16">
            <v>7</v>
          </cell>
          <cell r="B16" t="str">
            <v>BONDS/MAYS/AARON/DIMAGGIO/GEHRIG/WANGER - Set 2 (Reverse)</v>
          </cell>
          <cell r="C16" t="str">
            <v>Kitchen</v>
          </cell>
          <cell r="D16" t="str">
            <v>5A</v>
          </cell>
          <cell r="E16" t="str">
            <v>Main Run Top (w/ 1-5/8" back strip)</v>
          </cell>
          <cell r="O16">
            <v>50</v>
          </cell>
          <cell r="R16">
            <v>29.493055555555557</v>
          </cell>
          <cell r="T16">
            <v>1474.6527777777778</v>
          </cell>
        </row>
        <row r="17">
          <cell r="A17">
            <v>7</v>
          </cell>
          <cell r="B17" t="str">
            <v>BONDS/MAYS/AARON/DIMAGGIO/GEHRIG/WANGER - Set 2 (Reverse)</v>
          </cell>
          <cell r="C17" t="str">
            <v>Kitchen</v>
          </cell>
          <cell r="D17" t="str">
            <v>5B</v>
          </cell>
          <cell r="E17" t="str">
            <v>Return Top</v>
          </cell>
          <cell r="O17">
            <v>50</v>
          </cell>
          <cell r="R17">
            <v>2.9952256944444446</v>
          </cell>
          <cell r="T17">
            <v>149.76128472222223</v>
          </cell>
        </row>
        <row r="18">
          <cell r="A18">
            <v>7</v>
          </cell>
          <cell r="B18" t="str">
            <v>BONDS/MAYS/AARON/DIMAGGIO/GEHRIG/WANGER - Set 2 (Reverse)</v>
          </cell>
          <cell r="C18" t="str">
            <v>Kitchen</v>
          </cell>
          <cell r="D18" t="str">
            <v>6A</v>
          </cell>
          <cell r="E18" t="str">
            <v>Return Top</v>
          </cell>
          <cell r="O18">
            <v>50</v>
          </cell>
          <cell r="R18">
            <v>3.1740451388888888</v>
          </cell>
          <cell r="T18">
            <v>158.70225694444443</v>
          </cell>
        </row>
        <row r="19">
          <cell r="A19">
            <v>7</v>
          </cell>
          <cell r="B19" t="str">
            <v>BONDS/MAYS/AARON/DIMAGGIO/GEHRIG/WANGER - Set 2 (Reverse)</v>
          </cell>
          <cell r="C19" t="str">
            <v>Kitchen</v>
          </cell>
          <cell r="D19" t="str">
            <v>6B</v>
          </cell>
          <cell r="E19" t="str">
            <v>Countertop</v>
          </cell>
          <cell r="O19">
            <v>50</v>
          </cell>
          <cell r="R19">
            <v>8.1362847222222214</v>
          </cell>
          <cell r="T19">
            <v>406.81423611111109</v>
          </cell>
        </row>
        <row r="20">
          <cell r="A20">
            <v>8</v>
          </cell>
          <cell r="B20" t="str">
            <v>BONDS/MAYS/AARON/DIMAGGIO/GEHRIG/WANGER - Set 2 (Reverse)</v>
          </cell>
          <cell r="C20" t="str">
            <v>MB Vanity</v>
          </cell>
          <cell r="D20" t="str">
            <v>7</v>
          </cell>
          <cell r="E20" t="str">
            <v>MB Vanity Top</v>
          </cell>
          <cell r="O20">
            <v>50</v>
          </cell>
          <cell r="R20">
            <v>8.0177951388888893</v>
          </cell>
          <cell r="T20">
            <v>400.88975694444446</v>
          </cell>
        </row>
        <row r="21">
          <cell r="A21">
            <v>9</v>
          </cell>
          <cell r="B21" t="str">
            <v>BONDS/MAYS/AARON/DIMAGGIO/GEHRIG/WANGER - Set 3 (No Sink)</v>
          </cell>
          <cell r="C21" t="str">
            <v>Kitchen</v>
          </cell>
          <cell r="D21" t="str">
            <v>8A</v>
          </cell>
          <cell r="E21" t="str">
            <v>Main Run Top</v>
          </cell>
          <cell r="O21">
            <v>105</v>
          </cell>
          <cell r="R21">
            <v>29.493055555555557</v>
          </cell>
          <cell r="T21">
            <v>3096.7708333333335</v>
          </cell>
        </row>
        <row r="22">
          <cell r="A22">
            <v>9</v>
          </cell>
          <cell r="B22" t="str">
            <v>BONDS/MAYS/AARON/DIMAGGIO/GEHRIG/WANGER - Set 3 (No Sink)</v>
          </cell>
          <cell r="C22" t="str">
            <v>Kitchen</v>
          </cell>
          <cell r="D22" t="str">
            <v>8B</v>
          </cell>
          <cell r="E22" t="str">
            <v>Return Top</v>
          </cell>
          <cell r="O22">
            <v>100</v>
          </cell>
          <cell r="R22">
            <v>2.9952256944444446</v>
          </cell>
          <cell r="T22">
            <v>299.52256944444446</v>
          </cell>
        </row>
        <row r="23">
          <cell r="A23">
            <v>9</v>
          </cell>
          <cell r="B23" t="str">
            <v>BONDS/MAYS/AARON/DIMAGGIO/GEHRIG/WANGER - Set 3 (No Sink)</v>
          </cell>
          <cell r="C23" t="str">
            <v>Kitchen</v>
          </cell>
          <cell r="D23" t="str">
            <v>9A</v>
          </cell>
          <cell r="E23" t="str">
            <v>Return Top</v>
          </cell>
          <cell r="O23">
            <v>100</v>
          </cell>
          <cell r="R23">
            <v>3.1740451388888888</v>
          </cell>
          <cell r="T23">
            <v>317.40451388888886</v>
          </cell>
        </row>
        <row r="24">
          <cell r="A24">
            <v>9</v>
          </cell>
          <cell r="B24" t="str">
            <v>BONDS/MAYS/AARON/DIMAGGIO/GEHRIG/WANGER - Set 3 (No Sink)</v>
          </cell>
          <cell r="C24" t="str">
            <v>Kitchen</v>
          </cell>
          <cell r="D24" t="str">
            <v>9B</v>
          </cell>
          <cell r="E24" t="str">
            <v>Countertop</v>
          </cell>
          <cell r="O24">
            <v>100</v>
          </cell>
          <cell r="R24">
            <v>8.1362847222222214</v>
          </cell>
          <cell r="T24">
            <v>813.62847222222217</v>
          </cell>
        </row>
        <row r="25">
          <cell r="A25">
            <v>10</v>
          </cell>
          <cell r="B25" t="str">
            <v>BONDS/MAYS/AARON/DIMAGGIO/GEHRIG/WANGER - Set 3 (No Sink)</v>
          </cell>
          <cell r="C25" t="str">
            <v>MB Vanity</v>
          </cell>
          <cell r="D25" t="str">
            <v>10</v>
          </cell>
          <cell r="E25" t="str">
            <v>MB Vanity Top</v>
          </cell>
          <cell r="O25">
            <v>100</v>
          </cell>
          <cell r="R25">
            <v>8.0177951388888893</v>
          </cell>
          <cell r="T25">
            <v>801.77951388888891</v>
          </cell>
        </row>
        <row r="26">
          <cell r="A26">
            <v>6</v>
          </cell>
          <cell r="B26" t="str">
            <v>BONDS/MAYS/AARON/DIMAGGIO/GEHRIG/WANGER - All Units (B2 Vanity)</v>
          </cell>
          <cell r="C26" t="str">
            <v>B2 Vanity</v>
          </cell>
          <cell r="D26" t="str">
            <v>4</v>
          </cell>
          <cell r="E26" t="str">
            <v>B2 Vanity Top</v>
          </cell>
          <cell r="O26">
            <v>200</v>
          </cell>
          <cell r="R26">
            <v>6.1219618055555554</v>
          </cell>
          <cell r="T26">
            <v>1224.3923611111111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7D4A-2753-48AA-8A74-1FB4D044687B}">
  <dimension ref="A1:J26"/>
  <sheetViews>
    <sheetView showGridLines="0" tabSelected="1" zoomScaleNormal="100" workbookViewId="0">
      <pane ySplit="3" topLeftCell="A4" activePane="bottomLeft" state="frozen"/>
      <selection pane="bottomLeft" sqref="A1:XFD1"/>
    </sheetView>
  </sheetViews>
  <sheetFormatPr defaultColWidth="8.7109375" defaultRowHeight="15" x14ac:dyDescent="0.25"/>
  <cols>
    <col min="1" max="1" width="6" customWidth="1"/>
    <col min="2" max="2" width="34" customWidth="1"/>
    <col min="3" max="3" width="11" customWidth="1"/>
    <col min="4" max="4" width="7" customWidth="1"/>
    <col min="5" max="5" width="28" customWidth="1"/>
    <col min="6" max="7" width="9" customWidth="1"/>
    <col min="8" max="9" width="11" customWidth="1"/>
    <col min="10" max="10" width="14" customWidth="1"/>
  </cols>
  <sheetData>
    <row r="1" spans="1:10" s="20" customFormat="1" ht="16.5" x14ac:dyDescent="0.25">
      <c r="A1" s="20" t="s">
        <v>11</v>
      </c>
    </row>
    <row r="2" spans="1:10" s="19" customFormat="1" x14ac:dyDescent="0.25"/>
    <row r="3" spans="1:10" x14ac:dyDescent="0.25">
      <c r="A3" s="18" t="s">
        <v>10</v>
      </c>
      <c r="B3" s="18" t="s">
        <v>9</v>
      </c>
      <c r="C3" s="18" t="s">
        <v>8</v>
      </c>
      <c r="D3" s="18" t="s">
        <v>7</v>
      </c>
      <c r="E3" s="18" t="s">
        <v>6</v>
      </c>
      <c r="F3" s="18" t="s">
        <v>5</v>
      </c>
      <c r="G3" s="18" t="s">
        <v>4</v>
      </c>
      <c r="H3" s="18" t="s">
        <v>3</v>
      </c>
      <c r="I3" s="18" t="s">
        <v>2</v>
      </c>
      <c r="J3" s="18" t="s">
        <v>1</v>
      </c>
    </row>
    <row r="4" spans="1:10" x14ac:dyDescent="0.25">
      <c r="A4" s="11">
        <f>'[2]Drawing Summary'!A5</f>
        <v>1</v>
      </c>
      <c r="B4" s="10" t="str">
        <f>'[2]Drawing Summary'!B5</f>
        <v>BERGA/CORNWALL/RIO/ARUB</v>
      </c>
      <c r="C4" s="10" t="str">
        <f>'[2]Drawing Summary'!C5</f>
        <v>Kitchen</v>
      </c>
      <c r="D4" s="11" t="str">
        <f>'[2]Drawing Summary'!D5</f>
        <v>1</v>
      </c>
      <c r="E4" s="10" t="str">
        <f>'[2]Drawing Summary'!E5</f>
        <v>Island Top</v>
      </c>
      <c r="F4" s="9">
        <f>'[2]Drawing Summary'!O5</f>
        <v>53</v>
      </c>
      <c r="G4" s="8">
        <f>'[2]Drawing Summary'!R5</f>
        <v>28.978732638888889</v>
      </c>
      <c r="H4" s="7">
        <f>'[2]Drawing Summary'!T5</f>
        <v>1535.8728298611111</v>
      </c>
      <c r="I4" s="6">
        <f>'[1]Customer Quote'!O4</f>
        <v>133.08863932827111</v>
      </c>
      <c r="J4" s="6">
        <f>'[1]Customer Quote'!P4</f>
        <v>7053.6978843983688</v>
      </c>
    </row>
    <row r="5" spans="1:10" x14ac:dyDescent="0.25">
      <c r="A5" s="11">
        <f>'[2]Drawing Summary'!A6</f>
        <v>1</v>
      </c>
      <c r="B5" s="10" t="str">
        <f>'[2]Drawing Summary'!B6</f>
        <v>BERGA/CORNWALL/RIO/ARUB</v>
      </c>
      <c r="C5" s="10" t="str">
        <f>'[2]Drawing Summary'!C6</f>
        <v>Kitchen</v>
      </c>
      <c r="D5" s="11" t="str">
        <f>'[2]Drawing Summary'!D6</f>
        <v>2</v>
      </c>
      <c r="E5" s="10" t="str">
        <f>'[2]Drawing Summary'!E6</f>
        <v>Return Top</v>
      </c>
      <c r="F5" s="9">
        <f>'[2]Drawing Summary'!O6</f>
        <v>51</v>
      </c>
      <c r="G5" s="8">
        <f>'[2]Drawing Summary'!R6</f>
        <v>6.2139756944444446</v>
      </c>
      <c r="H5" s="7">
        <f>'[2]Drawing Summary'!T6</f>
        <v>316.91276041666669</v>
      </c>
      <c r="I5" s="6">
        <f>'[1]Customer Quote'!O5</f>
        <v>29.270078146332633</v>
      </c>
      <c r="J5" s="6">
        <f>'[1]Customer Quote'!P5</f>
        <v>1492.7739854629642</v>
      </c>
    </row>
    <row r="6" spans="1:10" x14ac:dyDescent="0.25">
      <c r="A6" s="11">
        <f>'[2]Drawing Summary'!A7</f>
        <v>1</v>
      </c>
      <c r="B6" s="10" t="str">
        <f>'[2]Drawing Summary'!B7</f>
        <v>BERGA/CORNWALL/RIO/ARUB</v>
      </c>
      <c r="C6" s="10" t="str">
        <f>'[2]Drawing Summary'!C7</f>
        <v>Kitchen</v>
      </c>
      <c r="D6" s="11" t="str">
        <f>'[2]Drawing Summary'!D7</f>
        <v>3</v>
      </c>
      <c r="E6" s="10" t="str">
        <f>'[2]Drawing Summary'!E7</f>
        <v>Main Run Top</v>
      </c>
      <c r="F6" s="9">
        <f>'[2]Drawing Summary'!O7</f>
        <v>51</v>
      </c>
      <c r="G6" s="8">
        <f>'[2]Drawing Summary'!R7</f>
        <v>12.0703125</v>
      </c>
      <c r="H6" s="7">
        <f>'[2]Drawing Summary'!T7</f>
        <v>615.5859375</v>
      </c>
      <c r="I6" s="6">
        <f>'[1]Customer Quote'!O6</f>
        <v>54.833215344195281</v>
      </c>
      <c r="J6" s="6">
        <f>'[1]Customer Quote'!P6</f>
        <v>2796.4939825539595</v>
      </c>
    </row>
    <row r="7" spans="1:10" x14ac:dyDescent="0.25">
      <c r="A7" s="11">
        <f>'[2]Drawing Summary'!A8</f>
        <v>1</v>
      </c>
      <c r="B7" s="10" t="str">
        <f>'[2]Drawing Summary'!B8</f>
        <v>BERGA/CORNWALL/RIO/ARUB</v>
      </c>
      <c r="C7" s="10" t="str">
        <f>'[2]Drawing Summary'!C8</f>
        <v>Kitchen</v>
      </c>
      <c r="D7" s="11" t="str">
        <f>'[2]Drawing Summary'!D8</f>
        <v>4</v>
      </c>
      <c r="E7" s="10" t="str">
        <f>'[2]Drawing Summary'!E8</f>
        <v>Countertop</v>
      </c>
      <c r="F7" s="9">
        <f>'[2]Drawing Summary'!O8</f>
        <v>51</v>
      </c>
      <c r="G7" s="8">
        <f>'[2]Drawing Summary'!R8</f>
        <v>6.2139756944444446</v>
      </c>
      <c r="H7" s="7">
        <f>'[2]Drawing Summary'!T8</f>
        <v>316.91276041666669</v>
      </c>
      <c r="I7" s="6">
        <f>'[1]Customer Quote'!O7</f>
        <v>29.270078146332633</v>
      </c>
      <c r="J7" s="6">
        <f>'[1]Customer Quote'!P7</f>
        <v>1492.7739854629642</v>
      </c>
    </row>
    <row r="8" spans="1:10" x14ac:dyDescent="0.25">
      <c r="A8" s="11">
        <f>'[2]Drawing Summary'!A9</f>
        <v>2</v>
      </c>
      <c r="B8" s="10" t="str">
        <f>'[2]Drawing Summary'!B9</f>
        <v>BERGA/CORNWALL/RIO/ARUB</v>
      </c>
      <c r="C8" s="10" t="str">
        <f>'[2]Drawing Summary'!C9</f>
        <v>MB Vanity</v>
      </c>
      <c r="D8" s="11" t="str">
        <f>'[2]Drawing Summary'!D9</f>
        <v>5</v>
      </c>
      <c r="E8" s="10" t="str">
        <f>'[2]Drawing Summary'!E9</f>
        <v>MB Vanity Top (double sink)</v>
      </c>
      <c r="F8" s="9">
        <f>'[2]Drawing Summary'!O9</f>
        <v>66</v>
      </c>
      <c r="G8" s="8">
        <f>'[2]Drawing Summary'!R9</f>
        <v>13.744791666666666</v>
      </c>
      <c r="H8" s="7">
        <f>'[2]Drawing Summary'!T9</f>
        <v>907.15625</v>
      </c>
      <c r="I8" s="6">
        <f>'[1]Customer Quote'!O8</f>
        <v>70.737042017978283</v>
      </c>
      <c r="J8" s="6">
        <f>'[1]Customer Quote'!P8</f>
        <v>4668.6447731865665</v>
      </c>
    </row>
    <row r="9" spans="1:10" x14ac:dyDescent="0.25">
      <c r="A9" s="11">
        <f>'[2]Drawing Summary'!A10</f>
        <v>3</v>
      </c>
      <c r="B9" s="10" t="str">
        <f>'[2]Drawing Summary'!B10</f>
        <v>BERGA/CORNWALL/RIO/ARUB</v>
      </c>
      <c r="C9" s="10" t="str">
        <f>'[2]Drawing Summary'!C10</f>
        <v>B2 Vanity</v>
      </c>
      <c r="D9" s="11" t="str">
        <f>'[2]Drawing Summary'!D10</f>
        <v>6</v>
      </c>
      <c r="E9" s="10" t="str">
        <f>'[2]Drawing Summary'!E10</f>
        <v>B2 Vanity Top</v>
      </c>
      <c r="F9" s="9">
        <f>'[2]Drawing Summary'!O10</f>
        <v>51</v>
      </c>
      <c r="G9" s="8">
        <f>'[2]Drawing Summary'!R10</f>
        <v>6.1219618055555554</v>
      </c>
      <c r="H9" s="7">
        <f>'[2]Drawing Summary'!T10</f>
        <v>312.22005208333331</v>
      </c>
      <c r="I9" s="6">
        <f>'[1]Customer Quote'!O9</f>
        <v>32.994647546321744</v>
      </c>
      <c r="J9" s="6">
        <f>'[1]Customer Quote'!P9</f>
        <v>1682.7270248624091</v>
      </c>
    </row>
    <row r="10" spans="1:10" x14ac:dyDescent="0.25">
      <c r="A10" s="17">
        <f>'[2]Drawing Summary'!A11</f>
        <v>4</v>
      </c>
      <c r="B10" s="16" t="str">
        <f>'[2]Drawing Summary'!B11</f>
        <v>BONDS/MAYS/AARON/DIMAGGIO/GEHRIG/WANGER - Set 1 (As Shown)</v>
      </c>
      <c r="C10" s="16" t="str">
        <f>'[2]Drawing Summary'!C11</f>
        <v>Kitchen</v>
      </c>
      <c r="D10" s="17" t="str">
        <f>'[2]Drawing Summary'!D11</f>
        <v>1A</v>
      </c>
      <c r="E10" s="16" t="str">
        <f>'[2]Drawing Summary'!E11</f>
        <v>Main Run Top (w/ 1-5/8" back strip)</v>
      </c>
      <c r="F10" s="15">
        <f>'[2]Drawing Summary'!O11</f>
        <v>53</v>
      </c>
      <c r="G10" s="14">
        <f>'[2]Drawing Summary'!R11</f>
        <v>29.493055555555557</v>
      </c>
      <c r="H10" s="13">
        <f>'[2]Drawing Summary'!T11</f>
        <v>1563.1319444444446</v>
      </c>
      <c r="I10" s="12">
        <f>'[1]Customer Quote'!O10</f>
        <v>132.18149433304896</v>
      </c>
      <c r="J10" s="12">
        <f>'[1]Customer Quote'!P10</f>
        <v>7005.6191996515945</v>
      </c>
    </row>
    <row r="11" spans="1:10" x14ac:dyDescent="0.25">
      <c r="A11" s="17">
        <f>'[2]Drawing Summary'!A12</f>
        <v>4</v>
      </c>
      <c r="B11" s="16" t="str">
        <f>'[2]Drawing Summary'!B12</f>
        <v>BONDS/MAYS/AARON/DIMAGGIO/GEHRIG/WANGER - Set 1 (As Shown)</v>
      </c>
      <c r="C11" s="16" t="str">
        <f>'[2]Drawing Summary'!C12</f>
        <v>Kitchen</v>
      </c>
      <c r="D11" s="17" t="str">
        <f>'[2]Drawing Summary'!D12</f>
        <v>1B</v>
      </c>
      <c r="E11" s="16" t="str">
        <f>'[2]Drawing Summary'!E12</f>
        <v>Return Top</v>
      </c>
      <c r="F11" s="15">
        <f>'[2]Drawing Summary'!O12</f>
        <v>50</v>
      </c>
      <c r="G11" s="14">
        <f>'[2]Drawing Summary'!R12</f>
        <v>2.9952256944444446</v>
      </c>
      <c r="H11" s="13">
        <f>'[2]Drawing Summary'!T12</f>
        <v>149.76128472222223</v>
      </c>
      <c r="I11" s="12">
        <f>'[1]Customer Quote'!O11</f>
        <v>15.220109610102782</v>
      </c>
      <c r="J11" s="12">
        <f>'[1]Customer Quote'!P11</f>
        <v>761.00548050513908</v>
      </c>
    </row>
    <row r="12" spans="1:10" x14ac:dyDescent="0.25">
      <c r="A12" s="17">
        <f>'[2]Drawing Summary'!A13</f>
        <v>4</v>
      </c>
      <c r="B12" s="16" t="str">
        <f>'[2]Drawing Summary'!B13</f>
        <v>BONDS/MAYS/AARON/DIMAGGIO/GEHRIG/WANGER - Set 1 (As Shown)</v>
      </c>
      <c r="C12" s="16" t="str">
        <f>'[2]Drawing Summary'!C13</f>
        <v>Kitchen</v>
      </c>
      <c r="D12" s="17" t="str">
        <f>'[2]Drawing Summary'!D13</f>
        <v>2A</v>
      </c>
      <c r="E12" s="16" t="str">
        <f>'[2]Drawing Summary'!E13</f>
        <v>Return Top</v>
      </c>
      <c r="F12" s="15">
        <f>'[2]Drawing Summary'!O13</f>
        <v>50</v>
      </c>
      <c r="G12" s="14">
        <f>'[2]Drawing Summary'!R13</f>
        <v>3.1740451388888888</v>
      </c>
      <c r="H12" s="13">
        <f>'[2]Drawing Summary'!T13</f>
        <v>158.70225694444443</v>
      </c>
      <c r="I12" s="12">
        <f>'[1]Customer Quote'!O12</f>
        <v>16.000663417671106</v>
      </c>
      <c r="J12" s="12">
        <f>'[1]Customer Quote'!P12</f>
        <v>800.03317088355527</v>
      </c>
    </row>
    <row r="13" spans="1:10" x14ac:dyDescent="0.25">
      <c r="A13" s="17">
        <f>'[2]Drawing Summary'!A14</f>
        <v>4</v>
      </c>
      <c r="B13" s="16" t="str">
        <f>'[2]Drawing Summary'!B14</f>
        <v>BONDS/MAYS/AARON/DIMAGGIO/GEHRIG/WANGER - Set 1 (As Shown)</v>
      </c>
      <c r="C13" s="16" t="str">
        <f>'[2]Drawing Summary'!C14</f>
        <v>Kitchen</v>
      </c>
      <c r="D13" s="17" t="str">
        <f>'[2]Drawing Summary'!D14</f>
        <v>2B</v>
      </c>
      <c r="E13" s="16" t="str">
        <f>'[2]Drawing Summary'!E14</f>
        <v>Countertop</v>
      </c>
      <c r="F13" s="15">
        <f>'[2]Drawing Summary'!O14</f>
        <v>50</v>
      </c>
      <c r="G13" s="14">
        <f>'[2]Drawing Summary'!R14</f>
        <v>8.1362847222222214</v>
      </c>
      <c r="H13" s="13">
        <f>'[2]Drawing Summary'!T14</f>
        <v>406.81423611111109</v>
      </c>
      <c r="I13" s="12">
        <f>'[1]Customer Quote'!O13</f>
        <v>37.661031577692121</v>
      </c>
      <c r="J13" s="12">
        <f>'[1]Customer Quote'!P13</f>
        <v>1883.051578884606</v>
      </c>
    </row>
    <row r="14" spans="1:10" x14ac:dyDescent="0.25">
      <c r="A14" s="17">
        <f>'[2]Drawing Summary'!A15</f>
        <v>5</v>
      </c>
      <c r="B14" s="16" t="str">
        <f>'[2]Drawing Summary'!B15</f>
        <v>BONDS/MAYS/AARON/DIMAGGIO/GEHRIG/WANGER - Set 1 (As Shown)</v>
      </c>
      <c r="C14" s="16" t="str">
        <f>'[2]Drawing Summary'!C15</f>
        <v>MB Vanity</v>
      </c>
      <c r="D14" s="17" t="str">
        <f>'[2]Drawing Summary'!D15</f>
        <v>3</v>
      </c>
      <c r="E14" s="16" t="str">
        <f>'[2]Drawing Summary'!E15</f>
        <v>MB Vanity Top</v>
      </c>
      <c r="F14" s="15">
        <f>'[2]Drawing Summary'!O15</f>
        <v>50</v>
      </c>
      <c r="G14" s="14">
        <f>'[2]Drawing Summary'!R15</f>
        <v>8.0177951388888893</v>
      </c>
      <c r="H14" s="13">
        <f>'[2]Drawing Summary'!T15</f>
        <v>400.88975694444446</v>
      </c>
      <c r="I14" s="12">
        <f>'[1]Customer Quote'!O14</f>
        <v>41.386538399376228</v>
      </c>
      <c r="J14" s="12">
        <f>'[1]Customer Quote'!P14</f>
        <v>2069.3269199688116</v>
      </c>
    </row>
    <row r="15" spans="1:10" x14ac:dyDescent="0.25">
      <c r="A15" s="11">
        <f>'[2]Drawing Summary'!A16</f>
        <v>7</v>
      </c>
      <c r="B15" s="10" t="str">
        <f>'[2]Drawing Summary'!B16</f>
        <v>BONDS/MAYS/AARON/DIMAGGIO/GEHRIG/WANGER - Set 2 (Reverse)</v>
      </c>
      <c r="C15" s="10" t="str">
        <f>'[2]Drawing Summary'!C16</f>
        <v>Kitchen</v>
      </c>
      <c r="D15" s="11" t="str">
        <f>'[2]Drawing Summary'!D16</f>
        <v>5A</v>
      </c>
      <c r="E15" s="10" t="str">
        <f>'[2]Drawing Summary'!E16</f>
        <v>Main Run Top (w/ 1-5/8" back strip)</v>
      </c>
      <c r="F15" s="9">
        <f>'[2]Drawing Summary'!O16</f>
        <v>50</v>
      </c>
      <c r="G15" s="8">
        <f>'[2]Drawing Summary'!R16</f>
        <v>29.493055555555557</v>
      </c>
      <c r="H15" s="7">
        <f>'[2]Drawing Summary'!T16</f>
        <v>1474.6527777777778</v>
      </c>
      <c r="I15" s="6">
        <f>'[1]Customer Quote'!O15</f>
        <v>132.18149433304896</v>
      </c>
      <c r="J15" s="6">
        <f>'[1]Customer Quote'!P15</f>
        <v>6609.0747166524479</v>
      </c>
    </row>
    <row r="16" spans="1:10" x14ac:dyDescent="0.25">
      <c r="A16" s="11">
        <f>'[2]Drawing Summary'!A17</f>
        <v>7</v>
      </c>
      <c r="B16" s="10" t="str">
        <f>'[2]Drawing Summary'!B17</f>
        <v>BONDS/MAYS/AARON/DIMAGGIO/GEHRIG/WANGER - Set 2 (Reverse)</v>
      </c>
      <c r="C16" s="10" t="str">
        <f>'[2]Drawing Summary'!C17</f>
        <v>Kitchen</v>
      </c>
      <c r="D16" s="11" t="str">
        <f>'[2]Drawing Summary'!D17</f>
        <v>5B</v>
      </c>
      <c r="E16" s="10" t="str">
        <f>'[2]Drawing Summary'!E17</f>
        <v>Return Top</v>
      </c>
      <c r="F16" s="9">
        <f>'[2]Drawing Summary'!O17</f>
        <v>50</v>
      </c>
      <c r="G16" s="8">
        <f>'[2]Drawing Summary'!R17</f>
        <v>2.9952256944444446</v>
      </c>
      <c r="H16" s="7">
        <f>'[2]Drawing Summary'!T17</f>
        <v>149.76128472222223</v>
      </c>
      <c r="I16" s="6">
        <f>'[1]Customer Quote'!O16</f>
        <v>15.220109610102782</v>
      </c>
      <c r="J16" s="6">
        <f>'[1]Customer Quote'!P16</f>
        <v>761.00548050513908</v>
      </c>
    </row>
    <row r="17" spans="1:10" x14ac:dyDescent="0.25">
      <c r="A17" s="11">
        <f>'[2]Drawing Summary'!A18</f>
        <v>7</v>
      </c>
      <c r="B17" s="10" t="str">
        <f>'[2]Drawing Summary'!B18</f>
        <v>BONDS/MAYS/AARON/DIMAGGIO/GEHRIG/WANGER - Set 2 (Reverse)</v>
      </c>
      <c r="C17" s="10" t="str">
        <f>'[2]Drawing Summary'!C18</f>
        <v>Kitchen</v>
      </c>
      <c r="D17" s="11" t="str">
        <f>'[2]Drawing Summary'!D18</f>
        <v>6A</v>
      </c>
      <c r="E17" s="10" t="str">
        <f>'[2]Drawing Summary'!E18</f>
        <v>Return Top</v>
      </c>
      <c r="F17" s="9">
        <f>'[2]Drawing Summary'!O18</f>
        <v>50</v>
      </c>
      <c r="G17" s="8">
        <f>'[2]Drawing Summary'!R18</f>
        <v>3.1740451388888888</v>
      </c>
      <c r="H17" s="7">
        <f>'[2]Drawing Summary'!T18</f>
        <v>158.70225694444443</v>
      </c>
      <c r="I17" s="6">
        <f>'[1]Customer Quote'!O17</f>
        <v>16.000663417671106</v>
      </c>
      <c r="J17" s="6">
        <f>'[1]Customer Quote'!P17</f>
        <v>800.03317088355527</v>
      </c>
    </row>
    <row r="18" spans="1:10" x14ac:dyDescent="0.25">
      <c r="A18" s="11">
        <f>'[2]Drawing Summary'!A19</f>
        <v>7</v>
      </c>
      <c r="B18" s="10" t="str">
        <f>'[2]Drawing Summary'!B19</f>
        <v>BONDS/MAYS/AARON/DIMAGGIO/GEHRIG/WANGER - Set 2 (Reverse)</v>
      </c>
      <c r="C18" s="10" t="str">
        <f>'[2]Drawing Summary'!C19</f>
        <v>Kitchen</v>
      </c>
      <c r="D18" s="11" t="str">
        <f>'[2]Drawing Summary'!D19</f>
        <v>6B</v>
      </c>
      <c r="E18" s="10" t="str">
        <f>'[2]Drawing Summary'!E19</f>
        <v>Countertop</v>
      </c>
      <c r="F18" s="9">
        <f>'[2]Drawing Summary'!O19</f>
        <v>50</v>
      </c>
      <c r="G18" s="8">
        <f>'[2]Drawing Summary'!R19</f>
        <v>8.1362847222222214</v>
      </c>
      <c r="H18" s="7">
        <f>'[2]Drawing Summary'!T19</f>
        <v>406.81423611111109</v>
      </c>
      <c r="I18" s="6">
        <f>'[1]Customer Quote'!O18</f>
        <v>37.661031577692121</v>
      </c>
      <c r="J18" s="6">
        <f>'[1]Customer Quote'!P18</f>
        <v>1883.051578884606</v>
      </c>
    </row>
    <row r="19" spans="1:10" x14ac:dyDescent="0.25">
      <c r="A19" s="11">
        <f>'[2]Drawing Summary'!A20</f>
        <v>8</v>
      </c>
      <c r="B19" s="10" t="str">
        <f>'[2]Drawing Summary'!B20</f>
        <v>BONDS/MAYS/AARON/DIMAGGIO/GEHRIG/WANGER - Set 2 (Reverse)</v>
      </c>
      <c r="C19" s="10" t="str">
        <f>'[2]Drawing Summary'!C20</f>
        <v>MB Vanity</v>
      </c>
      <c r="D19" s="11" t="str">
        <f>'[2]Drawing Summary'!D20</f>
        <v>7</v>
      </c>
      <c r="E19" s="10" t="str">
        <f>'[2]Drawing Summary'!E20</f>
        <v>MB Vanity Top</v>
      </c>
      <c r="F19" s="9">
        <f>'[2]Drawing Summary'!O20</f>
        <v>50</v>
      </c>
      <c r="G19" s="8">
        <f>'[2]Drawing Summary'!R20</f>
        <v>8.0177951388888893</v>
      </c>
      <c r="H19" s="7">
        <f>'[2]Drawing Summary'!T20</f>
        <v>400.88975694444446</v>
      </c>
      <c r="I19" s="6">
        <f>'[1]Customer Quote'!O19</f>
        <v>41.386538399376228</v>
      </c>
      <c r="J19" s="6">
        <f>'[1]Customer Quote'!P19</f>
        <v>2069.3269199688116</v>
      </c>
    </row>
    <row r="20" spans="1:10" x14ac:dyDescent="0.25">
      <c r="A20" s="17">
        <f>'[2]Drawing Summary'!A21</f>
        <v>9</v>
      </c>
      <c r="B20" s="16" t="str">
        <f>'[2]Drawing Summary'!B21</f>
        <v>BONDS/MAYS/AARON/DIMAGGIO/GEHRIG/WANGER - Set 3 (No Sink)</v>
      </c>
      <c r="C20" s="16" t="str">
        <f>'[2]Drawing Summary'!C21</f>
        <v>Kitchen</v>
      </c>
      <c r="D20" s="17" t="str">
        <f>'[2]Drawing Summary'!D21</f>
        <v>8A</v>
      </c>
      <c r="E20" s="16" t="str">
        <f>'[2]Drawing Summary'!E21</f>
        <v>Main Run Top</v>
      </c>
      <c r="F20" s="15">
        <f>'[2]Drawing Summary'!O21</f>
        <v>105</v>
      </c>
      <c r="G20" s="14">
        <f>'[2]Drawing Summary'!R21</f>
        <v>29.493055555555557</v>
      </c>
      <c r="H20" s="13">
        <f>'[2]Drawing Summary'!T21</f>
        <v>3096.7708333333335</v>
      </c>
      <c r="I20" s="12">
        <f>'[1]Customer Quote'!O20</f>
        <v>128.18149433304896</v>
      </c>
      <c r="J20" s="12">
        <f>'[1]Customer Quote'!P20</f>
        <v>13459.056904970141</v>
      </c>
    </row>
    <row r="21" spans="1:10" x14ac:dyDescent="0.25">
      <c r="A21" s="17">
        <f>'[2]Drawing Summary'!A22</f>
        <v>9</v>
      </c>
      <c r="B21" s="16" t="str">
        <f>'[2]Drawing Summary'!B22</f>
        <v>BONDS/MAYS/AARON/DIMAGGIO/GEHRIG/WANGER - Set 3 (No Sink)</v>
      </c>
      <c r="C21" s="16" t="str">
        <f>'[2]Drawing Summary'!C22</f>
        <v>Kitchen</v>
      </c>
      <c r="D21" s="17" t="str">
        <f>'[2]Drawing Summary'!D22</f>
        <v>8B</v>
      </c>
      <c r="E21" s="16" t="str">
        <f>'[2]Drawing Summary'!E22</f>
        <v>Return Top</v>
      </c>
      <c r="F21" s="15">
        <f>'[2]Drawing Summary'!O22</f>
        <v>100</v>
      </c>
      <c r="G21" s="14">
        <f>'[2]Drawing Summary'!R22</f>
        <v>2.9952256944444446</v>
      </c>
      <c r="H21" s="13">
        <f>'[2]Drawing Summary'!T22</f>
        <v>299.52256944444446</v>
      </c>
      <c r="I21" s="12">
        <f>'[1]Customer Quote'!O21</f>
        <v>15.220109610102782</v>
      </c>
      <c r="J21" s="12">
        <f>'[1]Customer Quote'!P21</f>
        <v>1522.0109610102782</v>
      </c>
    </row>
    <row r="22" spans="1:10" x14ac:dyDescent="0.25">
      <c r="A22" s="17">
        <f>'[2]Drawing Summary'!A23</f>
        <v>9</v>
      </c>
      <c r="B22" s="16" t="str">
        <f>'[2]Drawing Summary'!B23</f>
        <v>BONDS/MAYS/AARON/DIMAGGIO/GEHRIG/WANGER - Set 3 (No Sink)</v>
      </c>
      <c r="C22" s="16" t="str">
        <f>'[2]Drawing Summary'!C23</f>
        <v>Kitchen</v>
      </c>
      <c r="D22" s="17" t="str">
        <f>'[2]Drawing Summary'!D23</f>
        <v>9A</v>
      </c>
      <c r="E22" s="16" t="str">
        <f>'[2]Drawing Summary'!E23</f>
        <v>Return Top</v>
      </c>
      <c r="F22" s="15">
        <f>'[2]Drawing Summary'!O23</f>
        <v>100</v>
      </c>
      <c r="G22" s="14">
        <f>'[2]Drawing Summary'!R23</f>
        <v>3.1740451388888888</v>
      </c>
      <c r="H22" s="13">
        <f>'[2]Drawing Summary'!T23</f>
        <v>317.40451388888886</v>
      </c>
      <c r="I22" s="12">
        <f>'[1]Customer Quote'!O22</f>
        <v>16.000663417671106</v>
      </c>
      <c r="J22" s="12">
        <f>'[1]Customer Quote'!P22</f>
        <v>1600.0663417671105</v>
      </c>
    </row>
    <row r="23" spans="1:10" x14ac:dyDescent="0.25">
      <c r="A23" s="17">
        <f>'[2]Drawing Summary'!A24</f>
        <v>9</v>
      </c>
      <c r="B23" s="16" t="str">
        <f>'[2]Drawing Summary'!B24</f>
        <v>BONDS/MAYS/AARON/DIMAGGIO/GEHRIG/WANGER - Set 3 (No Sink)</v>
      </c>
      <c r="C23" s="16" t="str">
        <f>'[2]Drawing Summary'!C24</f>
        <v>Kitchen</v>
      </c>
      <c r="D23" s="17" t="str">
        <f>'[2]Drawing Summary'!D24</f>
        <v>9B</v>
      </c>
      <c r="E23" s="16" t="str">
        <f>'[2]Drawing Summary'!E24</f>
        <v>Countertop</v>
      </c>
      <c r="F23" s="15">
        <f>'[2]Drawing Summary'!O24</f>
        <v>100</v>
      </c>
      <c r="G23" s="14">
        <f>'[2]Drawing Summary'!R24</f>
        <v>8.1362847222222214</v>
      </c>
      <c r="H23" s="13">
        <f>'[2]Drawing Summary'!T24</f>
        <v>813.62847222222217</v>
      </c>
      <c r="I23" s="12">
        <f>'[1]Customer Quote'!O23</f>
        <v>37.661031577692121</v>
      </c>
      <c r="J23" s="12">
        <f>'[1]Customer Quote'!P23</f>
        <v>3766.103157769212</v>
      </c>
    </row>
    <row r="24" spans="1:10" x14ac:dyDescent="0.25">
      <c r="A24" s="17">
        <f>'[2]Drawing Summary'!A25</f>
        <v>10</v>
      </c>
      <c r="B24" s="16" t="str">
        <f>'[2]Drawing Summary'!B25</f>
        <v>BONDS/MAYS/AARON/DIMAGGIO/GEHRIG/WANGER - Set 3 (No Sink)</v>
      </c>
      <c r="C24" s="16" t="str">
        <f>'[2]Drawing Summary'!C25</f>
        <v>MB Vanity</v>
      </c>
      <c r="D24" s="17" t="str">
        <f>'[2]Drawing Summary'!D25</f>
        <v>10</v>
      </c>
      <c r="E24" s="16" t="str">
        <f>'[2]Drawing Summary'!E25</f>
        <v>MB Vanity Top</v>
      </c>
      <c r="F24" s="15">
        <f>'[2]Drawing Summary'!O25</f>
        <v>100</v>
      </c>
      <c r="G24" s="14">
        <f>'[2]Drawing Summary'!R25</f>
        <v>8.0177951388888893</v>
      </c>
      <c r="H24" s="13">
        <f>'[2]Drawing Summary'!T25</f>
        <v>801.77951388888891</v>
      </c>
      <c r="I24" s="12">
        <f>'[1]Customer Quote'!O24</f>
        <v>37.386538399376228</v>
      </c>
      <c r="J24" s="12">
        <f>'[1]Customer Quote'!P24</f>
        <v>3738.6538399376227</v>
      </c>
    </row>
    <row r="25" spans="1:10" x14ac:dyDescent="0.25">
      <c r="A25" s="11">
        <f>'[2]Drawing Summary'!A26</f>
        <v>6</v>
      </c>
      <c r="B25" s="10" t="str">
        <f>'[2]Drawing Summary'!B26</f>
        <v>BONDS/MAYS/AARON/DIMAGGIO/GEHRIG/WANGER - All Units (B2 Vanity)</v>
      </c>
      <c r="C25" s="10" t="str">
        <f>'[2]Drawing Summary'!C26</f>
        <v>B2 Vanity</v>
      </c>
      <c r="D25" s="11" t="str">
        <f>'[2]Drawing Summary'!D26</f>
        <v>4</v>
      </c>
      <c r="E25" s="10" t="str">
        <f>'[2]Drawing Summary'!E26</f>
        <v>B2 Vanity Top</v>
      </c>
      <c r="F25" s="9">
        <f>'[2]Drawing Summary'!O26</f>
        <v>200</v>
      </c>
      <c r="G25" s="8">
        <f>'[2]Drawing Summary'!R26</f>
        <v>6.1219618055555554</v>
      </c>
      <c r="H25" s="7">
        <f>'[2]Drawing Summary'!T26</f>
        <v>1224.3923611111111</v>
      </c>
      <c r="I25" s="6">
        <f>'[1]Customer Quote'!O25</f>
        <v>32.994647546321744</v>
      </c>
      <c r="J25" s="6">
        <f>'[1]Customer Quote'!P25</f>
        <v>6598.9295092643488</v>
      </c>
    </row>
    <row r="26" spans="1:10" x14ac:dyDescent="0.25">
      <c r="A26" s="2"/>
      <c r="B26" s="5" t="s">
        <v>0</v>
      </c>
      <c r="C26" s="2"/>
      <c r="D26" s="2"/>
      <c r="E26" s="2"/>
      <c r="F26" s="4">
        <f>SUM(F4:F25)</f>
        <v>1531</v>
      </c>
      <c r="G26" s="2"/>
      <c r="H26" s="3">
        <f>SUM(H4:H25)</f>
        <v>15828.278645833338</v>
      </c>
      <c r="I26" s="2"/>
      <c r="J26" s="1">
        <f>SUM(J4:J25)</f>
        <v>74513.460567434217</v>
      </c>
    </row>
  </sheetData>
  <mergeCells count="2">
    <mergeCell ref="A2:XFD2"/>
    <mergeCell ref="A1:XF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2026-10-15T12:13:08Z</dcterms:created>
  <dcterms:modified xsi:type="dcterms:W3CDTF">2026-10-15T12:13:58Z</dcterms:modified>
</cp:coreProperties>
</file>